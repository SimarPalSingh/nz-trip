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9"/>
  <workbookPr defaultThemeVersion="166925"/>
  <mc:AlternateContent xmlns:mc="http://schemas.openxmlformats.org/markup-compatibility/2006">
    <mc:Choice Requires="x15">
      <x15ac:absPath xmlns:x15ac="http://schemas.microsoft.com/office/spreadsheetml/2010/11/ac" url="/Users/simarsingh/Documents/Personal/NZ Trip GUI/"/>
    </mc:Choice>
  </mc:AlternateContent>
  <xr:revisionPtr revIDLastSave="0" documentId="13_ncr:1_{A9E90B97-6039-1649-85D2-98FB8F756138}" xr6:coauthVersionLast="47" xr6:coauthVersionMax="47" xr10:uidLastSave="{00000000-0000-0000-0000-000000000000}"/>
  <bookViews>
    <workbookView xWindow="0" yWindow="600" windowWidth="60160" windowHeight="33240" firstSheet="3" activeTab="3" xr2:uid="{00000000-000D-0000-FFFF-FFFF00000000}"/>
  </bookViews>
  <sheets>
    <sheet name="Accomodation (Update) " sheetId="1" r:id="rId1"/>
    <sheet name="Travel Plan" sheetId="2" r:id="rId2"/>
    <sheet name="Travel Plan Final Draft" sheetId="8" r:id="rId3"/>
    <sheet name="Accomodation Final" sheetId="7" r:id="rId4"/>
    <sheet name="Itienary" sheetId="6" r:id="rId5"/>
    <sheet name="Car Hire Details " sheetId="3" r:id="rId6"/>
    <sheet name="Activities " sheetId="4" r:id="rId7"/>
    <sheet name="Shopping "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0" i="1" l="1"/>
  <c r="J10" i="1"/>
  <c r="D10" i="1"/>
</calcChain>
</file>

<file path=xl/sharedStrings.xml><?xml version="1.0" encoding="utf-8"?>
<sst xmlns="http://schemas.openxmlformats.org/spreadsheetml/2006/main" count="318" uniqueCount="264">
  <si>
    <t xml:space="preserve">Destination </t>
  </si>
  <si>
    <t xml:space="preserve">Date </t>
  </si>
  <si>
    <t xml:space="preserve">New Dates </t>
  </si>
  <si>
    <t>Nights Spending</t>
  </si>
  <si>
    <t>Accomodation Booked</t>
  </si>
  <si>
    <t>Kitchenette</t>
  </si>
  <si>
    <t xml:space="preserve">Cost </t>
  </si>
  <si>
    <t>COST AUD RIGHT NOW</t>
  </si>
  <si>
    <t xml:space="preserve">Comments </t>
  </si>
  <si>
    <t>Predicted Cost</t>
  </si>
  <si>
    <t>Christchurch</t>
  </si>
  <si>
    <t>Yes (Agoda)</t>
  </si>
  <si>
    <t>No</t>
  </si>
  <si>
    <t>123 NZD</t>
  </si>
  <si>
    <t>Hokitika</t>
  </si>
  <si>
    <t>Yes (Booking.com)</t>
  </si>
  <si>
    <t>135 NZD</t>
  </si>
  <si>
    <t>Franz Josef</t>
  </si>
  <si>
    <t xml:space="preserve">1-3 Oct </t>
  </si>
  <si>
    <t>121 NZD</t>
  </si>
  <si>
    <t xml:space="preserve">Might need to rebook for 2 nights </t>
  </si>
  <si>
    <t xml:space="preserve">Wanaka </t>
  </si>
  <si>
    <t>3-4 Oct</t>
  </si>
  <si>
    <t xml:space="preserve">153 AUD </t>
  </si>
  <si>
    <t>Queenstown</t>
  </si>
  <si>
    <t>5-8 Oct</t>
  </si>
  <si>
    <t>4-8 Oct</t>
  </si>
  <si>
    <t xml:space="preserve">495 AUD </t>
  </si>
  <si>
    <t>Might want to do 4 nights here and rebook with airbnb for a kichenette</t>
  </si>
  <si>
    <t xml:space="preserve">Mount Cook Village </t>
  </si>
  <si>
    <t>8-10 Oct</t>
  </si>
  <si>
    <t>8-11 Oct</t>
  </si>
  <si>
    <t>Yes (Airbnb)</t>
  </si>
  <si>
    <t>Yes</t>
  </si>
  <si>
    <t>542 AUD</t>
  </si>
  <si>
    <t xml:space="preserve">Lake Takepo </t>
  </si>
  <si>
    <t xml:space="preserve">Not needed, going back </t>
  </si>
  <si>
    <t xml:space="preserve">Te Anau </t>
  </si>
  <si>
    <t xml:space="preserve">3-5 Oct </t>
  </si>
  <si>
    <t>373 AUD</t>
  </si>
  <si>
    <t>LOGINS</t>
  </si>
  <si>
    <t>Destination</t>
  </si>
  <si>
    <t>Things To Do</t>
  </si>
  <si>
    <t xml:space="preserve">Christchurch </t>
  </si>
  <si>
    <t>Botanic garden
Christchurch tram
New regent street
Riverside market
Avon river walk
Earthquake memorial
Renee’s kitchen 
Sunset porthills?
Godola?
Punting?</t>
  </si>
  <si>
    <t xml:space="preserve">Franz Josef </t>
  </si>
  <si>
    <t xml:space="preserve">Helicopter Ride </t>
  </si>
  <si>
    <t>Lake Hawea
Wanaka Lavendar Farm
Wanaka Tree (might be a hike need to check)</t>
  </si>
  <si>
    <t xml:space="preserve">Queenstown </t>
  </si>
  <si>
    <t>Jetboatting
Vineyards and other hsitoric places
Arrowtown
Bob's Cove Viewpoint 
Bennett's Bluff Lookout
Glenorchy</t>
  </si>
  <si>
    <t>Milford Sound cruise 
Glowworm caves</t>
  </si>
  <si>
    <t>The helicopter Ride</t>
  </si>
  <si>
    <t>Day</t>
  </si>
  <si>
    <t>Date</t>
  </si>
  <si>
    <t>Location</t>
  </si>
  <si>
    <t>Daily Schedule &amp; Timings</t>
  </si>
  <si>
    <t>Key Highlights / Checklist</t>
  </si>
  <si>
    <r>
      <t>3:00 PM:</t>
    </r>
    <r>
      <rPr>
        <sz val="11"/>
        <color theme="1"/>
        <rFont val="Google Sans Text"/>
        <family val="2"/>
        <charset val="1"/>
      </rPr>
      <t xml:space="preserve"> Arrive at Christchurch Airport, pick up rental car.</t>
    </r>
  </si>
  <si>
    <t>• New Regent Street Explore</t>
  </si>
  <si>
    <r>
      <t>3:45 PM – 5:30 PM:</t>
    </r>
    <r>
      <rPr>
        <sz val="11"/>
        <color theme="1"/>
        <rFont val="Google Sans Text"/>
        <family val="2"/>
        <charset val="1"/>
      </rPr>
      <t xml:space="preserve"> Head straight into the compact city center. Park the car and take a relaxing loop on the historic Christchurch Tram (the full circuit takes about 50 minutes, making it a perfect low-energy way to see New Regent Street and the city sights right after flying). Follow it up with a short, flat stroll along the Avon River Walk to the Earthquake Memorial.</t>
    </r>
  </si>
  <si>
    <t>• Avon River Walk</t>
  </si>
  <si>
    <r>
      <t>6:00 PM:</t>
    </r>
    <r>
      <rPr>
        <sz val="11"/>
        <color theme="1"/>
        <rFont val="Google Sans Text"/>
        <family val="2"/>
        <charset val="1"/>
      </rPr>
      <t xml:space="preserve"> Head to Riverside Market or Renee’s Kitchen for dinner. The indoor market is vibrant, warm, and offers heaps of quick, delicious food options.</t>
    </r>
  </si>
  <si>
    <t>• Earthquake Memorial</t>
  </si>
  <si>
    <r>
      <t>7:15 PM (Dusk):</t>
    </r>
    <r>
      <rPr>
        <sz val="11"/>
        <color theme="1"/>
        <rFont val="Google Sans Text"/>
        <family val="2"/>
        <charset val="1"/>
      </rPr>
      <t xml:space="preserve"> Drive up to the Port Hills lookouts. In late September/early October, the sun sets around 7:30 PM, so you’ll catch the beautiful golden hour and city lights coming alive right on time.</t>
    </r>
  </si>
  <si>
    <t>• Riverside Market</t>
  </si>
  <si>
    <t>• Port Hills Lookout</t>
  </si>
  <si>
    <r>
      <t>Focus:</t>
    </r>
    <r>
      <rPr>
        <sz val="11"/>
        <color theme="1"/>
        <rFont val="Google Sans Text"/>
        <family val="2"/>
        <charset val="1"/>
      </rPr>
      <t xml:space="preserve"> The spectacular alpine drive across Arthur's Pass &amp; West Coast.</t>
    </r>
  </si>
  <si>
    <t>• Castle Hill Conservation Area (Kura Tāwhiti) = 15–20 mins walk</t>
  </si>
  <si>
    <r>
      <t>7:30 AM:</t>
    </r>
    <r>
      <rPr>
        <sz val="11"/>
        <color theme="1"/>
        <rFont val="Google Sans Text"/>
        <family val="2"/>
        <charset val="1"/>
      </rPr>
      <t xml:space="preserve"> Leave Christchurch early. Your first main stop is Castle Hill Conservation Area (Kura Tāwhiti). The walk among the massive limestone boulders is entirely flat and takes just 15–20 minutes.</t>
    </r>
  </si>
  <si>
    <t>• Porters Pass Viewpoint</t>
  </si>
  <si>
    <r>
      <t>10:15 AM:</t>
    </r>
    <r>
      <rPr>
        <sz val="11"/>
        <color theme="1"/>
        <rFont val="Google Sans Text"/>
        <family val="2"/>
        <charset val="1"/>
      </rPr>
      <t xml:space="preserve"> Stop at the Porters Pass Viewpoint and drive over the spectacular Otira Viaduct Lookout to admire the engineering marvel nestled in the gorge.</t>
    </r>
  </si>
  <si>
    <t>• Drive over Otira Viaduct Lookout</t>
  </si>
  <si>
    <r>
      <t>11:30 AM:</t>
    </r>
    <r>
      <rPr>
        <sz val="11"/>
        <color theme="1"/>
        <rFont val="Google Sans Text"/>
        <family val="2"/>
        <charset val="1"/>
      </rPr>
      <t xml:space="preserve"> Stop in Arthur's Pass village for lunch.</t>
    </r>
  </si>
  <si>
    <t>• Arthur's Pass Village</t>
  </si>
  <si>
    <r>
      <t>12:45 PM:</t>
    </r>
    <r>
      <rPr>
        <sz val="11"/>
        <color theme="1"/>
        <rFont val="Google Sans Text"/>
        <family val="2"/>
        <charset val="1"/>
      </rPr>
      <t xml:space="preserve"> Take the short, well-formed forest walk to the Devils Punchbowl Waterfall (approx. 45–60 mins return, mostly flat with a few steps at the end).</t>
    </r>
  </si>
  <si>
    <t>• Devils Punchbowl Waterfall = approx 45–60 mins walk</t>
  </si>
  <si>
    <r>
      <t>3:30 PM:</t>
    </r>
    <r>
      <rPr>
        <sz val="11"/>
        <color theme="1"/>
        <rFont val="Google Sans Text"/>
        <family val="2"/>
        <charset val="1"/>
      </rPr>
      <t xml:space="preserve"> Drive straight to Hokitika Gorge to do the beautiful, easy loop walk and see the vibrant turquoise water from the swing bridge (doing this today keeps tomorrow morning completely clear for your flight).</t>
    </r>
  </si>
  <si>
    <t>• Hokitika Gorge Walk (Moved from 1-Oct to keep flight morning clear)</t>
  </si>
  <si>
    <r>
      <t>6:00 PM:</t>
    </r>
    <r>
      <rPr>
        <sz val="11"/>
        <color theme="1"/>
        <rFont val="Google Sans Text"/>
        <family val="2"/>
        <charset val="1"/>
      </rPr>
      <t xml:space="preserve"> Arrive in Hokitika town. Grab a bite at a local sandwich place or cafe, then head down to Hokitika Beach to see the famous driftwood sign at sunset.</t>
    </r>
  </si>
  <si>
    <t>• Find a dinner place</t>
  </si>
  <si>
    <t>• Hokitika Beach</t>
  </si>
  <si>
    <r>
      <t>8:45 AM:</t>
    </r>
    <r>
      <rPr>
        <sz val="11"/>
        <color theme="1"/>
        <rFont val="Google Sans Text"/>
        <family val="2"/>
        <charset val="1"/>
      </rPr>
      <t xml:space="preserve"> Depart Hokitika on SH6 for a relaxed, direct 2-hour scenic drive south to Franz Josef.</t>
    </r>
  </si>
  <si>
    <t>• Direct morning drive to Franz Josef</t>
  </si>
  <si>
    <r>
      <t>11:45 AM:</t>
    </r>
    <r>
      <rPr>
        <sz val="11"/>
        <color theme="1"/>
        <rFont val="Google Sans Text"/>
        <family val="2"/>
        <charset val="1"/>
      </rPr>
      <t xml:space="preserve"> Arrive and check in at the heli-pad base (must be there by 11:45 AM max for safety briefing and gear fitting).</t>
    </r>
  </si>
  <si>
    <t>• Franz Josef Glacier Heli-Hike (11:45 AM Check-in / 12:30 PM Flight)</t>
  </si>
  <si>
    <r>
      <t>12:30 PM – 3:30 PM:</t>
    </r>
    <r>
      <rPr>
        <sz val="11"/>
        <color theme="1"/>
        <rFont val="Google Sans Text"/>
        <family val="2"/>
        <charset val="1"/>
      </rPr>
      <t xml:space="preserve"> Embark on your Franz Josef Glacier Heli-Hike. Flying today gives you an immediate shot at a clear weather window.</t>
    </r>
  </si>
  <si>
    <t>• Terrace Walk (Spot Wild Glowworms)</t>
  </si>
  <si>
    <r>
      <t>6:30 PM:</t>
    </r>
    <r>
      <rPr>
        <sz val="11"/>
        <color theme="1"/>
        <rFont val="Google Sans Text"/>
        <family val="2"/>
        <charset val="1"/>
      </rPr>
      <t xml:space="preserve"> Enjoy a relaxed dinner in Franz Josef village.</t>
    </r>
  </si>
  <si>
    <r>
      <t>8:00 PM:</t>
    </r>
    <r>
      <rPr>
        <sz val="11"/>
        <color theme="1"/>
        <rFont val="Google Sans Text"/>
        <family val="2"/>
        <charset val="1"/>
      </rPr>
      <t xml:space="preserve"> Do the free Terrace Walk right at the edge of the village to spot wild glowworms along the dark forest path (bring a torch, switch off on track).</t>
    </r>
  </si>
  <si>
    <r>
      <t>All Day:</t>
    </r>
    <r>
      <rPr>
        <sz val="11"/>
        <color theme="1"/>
        <rFont val="Google Sans Text"/>
        <family val="2"/>
        <charset val="1"/>
      </rPr>
      <t xml:space="preserve"> If your helicopter flight went ahead yesterday, today is yours to completely relax!</t>
    </r>
  </si>
  <si>
    <t>• Scenic stroll to Peter's Pool and/or Sentinel Rock</t>
  </si>
  <si>
    <r>
      <t>10:00 AM:</t>
    </r>
    <r>
      <rPr>
        <sz val="11"/>
        <color theme="1"/>
        <rFont val="Google Sans Text"/>
        <family val="2"/>
        <charset val="1"/>
      </rPr>
      <t xml:space="preserve"> Take flat, scenic strolls to Peter's Pool or Sentinel Rock for beautiful glacial valley views.</t>
    </r>
  </si>
  <si>
    <t>• Lake Matheson Mirror Walk (Fox Glacier)</t>
  </si>
  <si>
    <r>
      <t>1:30 PM:</t>
    </r>
    <r>
      <rPr>
        <sz val="11"/>
        <color theme="1"/>
        <rFont val="Google Sans Text"/>
        <family val="2"/>
        <charset val="1"/>
      </rPr>
      <t xml:space="preserve"> Take a short 25-minute drive south to Fox Glacier for the easy, flat Lake Matheson Mirror Walk (famous for postcard reflections of Mt Cook &amp; Mt Tasman on calm water; approx. 1 hour loop).</t>
    </r>
  </si>
  <si>
    <t>• Waiho Hot Tubs / Relaxed village afternoon</t>
  </si>
  <si>
    <r>
      <t>4:30 PM:</t>
    </r>
    <r>
      <rPr>
        <sz val="11"/>
        <color theme="1"/>
        <rFont val="Google Sans Text"/>
        <family val="2"/>
        <charset val="1"/>
      </rPr>
      <t xml:space="preserve"> Return to Franz Josef and soak at Waiho Hot Tubs or relax around the village.</t>
    </r>
  </si>
  <si>
    <t>• Backup Heli-Hike Window</t>
  </si>
  <si>
    <t>(If yesterday’s flight was grounded due to clouds, today is your automatic backup weather window to try again).</t>
  </si>
  <si>
    <t>Wanaka</t>
  </si>
  <si>
    <r>
      <t>8:30 AM:</t>
    </r>
    <r>
      <rPr>
        <sz val="11"/>
        <color theme="1"/>
        <rFont val="Google Sans Text"/>
        <family val="2"/>
        <charset val="1"/>
      </rPr>
      <t xml:space="preserve"> Drive south, pausing for quick roadside views of Fox Glacier.</t>
    </r>
  </si>
  <si>
    <t>• Fox Glacier Roadside Views</t>
  </si>
  <si>
    <r>
      <t>11:30 AM:</t>
    </r>
    <r>
      <rPr>
        <sz val="11"/>
        <color theme="1"/>
        <rFont val="Google Sans Text"/>
        <family val="2"/>
        <charset val="1"/>
      </rPr>
      <t xml:space="preserve"> Cruise through the Haast Pass. Take the flat, easy 30-minute walk through pristine beech forest to the crystal-clear Blue Pools (plus a quick 5-min stop at Thunder Creek Falls).</t>
    </r>
  </si>
  <si>
    <t>• Pristine Beech Forest Walk to Blue Pools (Thunder Creek Falls)</t>
  </si>
  <si>
    <r>
      <t>2:45 PM:</t>
    </r>
    <r>
      <rPr>
        <sz val="11"/>
        <color theme="1"/>
        <rFont val="Google Sans Text"/>
        <family val="2"/>
        <charset val="1"/>
      </rPr>
      <t xml:space="preserve"> Drive alongside the massive expanses of Lake Hāwea (pulling into roadside bays for zero-hiking views). Arrive in Wanaka.</t>
    </r>
  </si>
  <si>
    <t>• Car pit stop at Lake Hāwea</t>
  </si>
  <si>
    <r>
      <t>4:15 PM:</t>
    </r>
    <r>
      <rPr>
        <sz val="11"/>
        <color theme="1"/>
        <rFont val="Google Sans Text"/>
        <family val="2"/>
        <charset val="1"/>
      </rPr>
      <t xml:space="preserve"> Drive straight to the lakefront park to see That Wānaka Tree. It sits right in the shallows and requires only a flat, 5-minute stroll along the shoreline.</t>
    </r>
  </si>
  <si>
    <t>• That Wānaka Tree</t>
  </si>
  <si>
    <r>
      <t>6:30 PM:</t>
    </r>
    <r>
      <rPr>
        <sz val="11"/>
        <color theme="1"/>
        <rFont val="Google Sans Text"/>
        <family val="2"/>
        <charset val="1"/>
      </rPr>
      <t xml:space="preserve"> Enjoy dinner by the Wanaka lakefront.</t>
    </r>
  </si>
  <si>
    <r>
      <t>9:30 AM ($10 NZD):</t>
    </r>
    <r>
      <rPr>
        <sz val="11"/>
        <color theme="1"/>
        <rFont val="Google Sans Text"/>
        <family val="2"/>
        <charset val="1"/>
      </rPr>
      <t xml:space="preserve"> Visit the lovely Wānaka Lavender Farm to stroll the spring grounds, feed the farm animals, and try their famous lavender honey ice cream.</t>
    </r>
  </si>
  <si>
    <t>• Wānaka Lavender Farm</t>
  </si>
  <si>
    <r>
      <t>11:30 AM (Free):</t>
    </r>
    <r>
      <rPr>
        <sz val="11"/>
        <color theme="1"/>
        <rFont val="Google Sans Text"/>
        <family val="2"/>
        <charset val="1"/>
      </rPr>
      <t xml:space="preserve"> Drive over the spectacular alpine Crown Range Road. Make a quick photo stop at the iconic Cardrona Bra Fence and the historic 1863 Cardrona Hotel, then stop at Crown Range Summit Lookout (The Saddle) for sweeping valley views.</t>
    </r>
  </si>
  <si>
    <t>• Cardrona Bra Fence &amp; Historic Cardrona Hotel</t>
  </si>
  <si>
    <r>
      <t>1:30 PM (Free):</t>
    </r>
    <r>
      <rPr>
        <sz val="11"/>
        <color theme="1"/>
        <rFont val="Google Sans Text"/>
        <family val="2"/>
        <charset val="1"/>
      </rPr>
      <t xml:space="preserve"> Arrive in Queenstown and check into your accommodation (Stay: 4–8 Oct). Grab a relaxed late lunch by the waterfront.</t>
    </r>
  </si>
  <si>
    <t>• Crown Range Summit Lookout (The Saddle)</t>
  </si>
  <si>
    <r>
      <t>4:00 PM (Free):</t>
    </r>
    <r>
      <rPr>
        <sz val="11"/>
        <color theme="1"/>
        <rFont val="Google Sans Text"/>
        <family val="2"/>
        <charset val="1"/>
      </rPr>
      <t xml:space="preserve"> Take a slow, flat stroll around the beautiful Queenstown Gardens peninsula right on the edge of Lake Wakatipu to ease into the city's vibe.</t>
    </r>
  </si>
  <si>
    <t>• Arrow Junction Lookout Point</t>
  </si>
  <si>
    <r>
      <t>Evening:</t>
    </r>
    <r>
      <rPr>
        <sz val="11"/>
        <color theme="1"/>
        <rFont val="Google Sans Text"/>
        <family val="2"/>
        <charset val="1"/>
      </rPr>
      <t xml:space="preserve"> Grab dessert or hot churros at Patagonia Chocolates by Steamer Wharf.</t>
    </r>
  </si>
  <si>
    <t>• Steamer Wharf and Queenstown Gardens (Check-in Queenstown: 4–8 Oct)</t>
  </si>
  <si>
    <t>• Patagonia Chocolates</t>
  </si>
  <si>
    <r>
      <t>9:30 AM:</t>
    </r>
    <r>
      <rPr>
        <sz val="11"/>
        <color theme="1"/>
        <rFont val="Google Sans Text"/>
        <family val="2"/>
        <charset val="1"/>
      </rPr>
      <t xml:space="preserve"> Take an easy morning stroll along Queenstown Bay and town center.</t>
    </r>
  </si>
  <si>
    <t>• Jet Boat Ride at Queenstown Wharf (11:00 AM)</t>
  </si>
  <si>
    <r>
      <t>11:00 AM:</t>
    </r>
    <r>
      <rPr>
        <sz val="11"/>
        <color theme="1"/>
        <rFont val="Google Sans Text"/>
        <family val="2"/>
        <charset val="1"/>
      </rPr>
      <t xml:space="preserve"> Head to Queenstown Main Town Pier / Wharf for your high-speed Jet Boat Ride.</t>
    </r>
  </si>
  <si>
    <t>• Balls and Bangles / Fergburger Lunch</t>
  </si>
  <si>
    <r>
      <t>12:30 PM ($25 NZD):</t>
    </r>
    <r>
      <rPr>
        <sz val="11"/>
        <color theme="1"/>
        <rFont val="Google Sans Text"/>
        <family val="2"/>
        <charset val="1"/>
      </rPr>
      <t xml:space="preserve"> Head into central Queenstown and grab lunch at Balls and Bangles (famous for loaded gourmet bagels and over-the-top donuts) or Fergburger / Fergbaker.</t>
    </r>
  </si>
  <si>
    <t>• Skyline Gondola &amp; Luge</t>
  </si>
  <si>
    <r>
      <t>2:00 PM ($99 NZD):</t>
    </r>
    <r>
      <rPr>
        <sz val="11"/>
        <color theme="1"/>
        <rFont val="Google Sans Text"/>
        <family val="2"/>
        <charset val="1"/>
      </rPr>
      <t xml:space="preserve"> Walk over to the Brecon Street terminal to ride the Skyline Queenstown Gondola up Bob's Peak and race down the gravity-fueled alpine tracks on the Luge.</t>
    </r>
  </si>
  <si>
    <t>• Queenstown Ice Bar (4:00 PM)</t>
  </si>
  <si>
    <r>
      <t>4:00 PM:</t>
    </r>
    <r>
      <rPr>
        <sz val="11"/>
        <color theme="1"/>
        <rFont val="Google Sans Text"/>
        <family val="2"/>
        <charset val="1"/>
      </rPr>
      <t xml:space="preserve"> Head to Queenstown Ice Bar (Below Zero Ice Bar / Queenstown Ice Bar) for your pre-booked premium ice lounge experience.</t>
    </r>
  </si>
  <si>
    <r>
      <t>Evening:</t>
    </r>
    <r>
      <rPr>
        <sz val="11"/>
        <color theme="1"/>
        <rFont val="Google Sans Text"/>
        <family val="2"/>
        <charset val="1"/>
      </rPr>
      <t xml:space="preserve"> Waterfront dinner and relaxed drinks around Steamer Wharf.</t>
    </r>
  </si>
  <si>
    <r>
      <t>9:00 AM (Free):</t>
    </r>
    <r>
      <rPr>
        <sz val="11"/>
        <color theme="1"/>
        <rFont val="Google Sans Text"/>
        <family val="2"/>
        <charset val="1"/>
      </rPr>
      <t xml:space="preserve"> Drive the breathtaking lakefront road toward Glenorchy. Pull over at Bob’s Cove Viewpoint (easy, flat 30-min return forest walk down to a hidden turquoise cove) and Bennett’s Bluff Lookout.</t>
    </r>
  </si>
  <si>
    <t>• Drive towards Glenorchy (Bob's Cove Viewpoint = Walk)</t>
  </si>
  <si>
    <r>
      <t>12:00 PM ($20 NZD):</t>
    </r>
    <r>
      <rPr>
        <sz val="11"/>
        <color theme="1"/>
        <rFont val="Google Sans Text"/>
        <family val="2"/>
        <charset val="1"/>
      </rPr>
      <t xml:space="preserve"> Arrive in Glenorchy and grab a hot, famous gourmet meat pie from Mrs Woolly’s General Store.</t>
    </r>
  </si>
  <si>
    <t>• Bennett's Bluff Lookout</t>
  </si>
  <si>
    <r>
      <t>1:00 PM (Free):</t>
    </r>
    <r>
      <rPr>
        <sz val="11"/>
        <color theme="1"/>
        <rFont val="Google Sans Text"/>
        <family val="2"/>
        <charset val="1"/>
      </rPr>
      <t xml:space="preserve"> Stroll the flat Glenorchy Walkway boardwalk out to the iconic red lakefront jetty.</t>
    </r>
  </si>
  <si>
    <t>• Glenorchy Walkway boardwalk &amp; Red Shed</t>
  </si>
  <si>
    <r>
      <t>2:00 PM (Free):</t>
    </r>
    <r>
      <rPr>
        <sz val="11"/>
        <color theme="1"/>
        <rFont val="Google Sans Text"/>
        <family val="2"/>
        <charset val="1"/>
      </rPr>
      <t xml:space="preserve"> Continue driving 20 minutes past Glenorchy into the jaw-dropping Paradise Valley (scenic gravel road through ancient beech forests and vast river plains used for Isengard in LOTR—zero hiking required for immense views).</t>
    </r>
  </si>
  <si>
    <t>• Paradise Valley</t>
  </si>
  <si>
    <r>
      <t>4:30 PM (Free):</t>
    </r>
    <r>
      <rPr>
        <sz val="11"/>
        <color theme="1"/>
        <rFont val="Google Sans Text"/>
        <family val="2"/>
        <charset val="1"/>
      </rPr>
      <t xml:space="preserve"> On the return drive, stop at historic Arrowtown to stroll down the preserved 19th-century miners' streets and visit the historic Chinese Settlement.</t>
    </r>
  </si>
  <si>
    <t>• Explore Arrowtown &amp; Historic Chinese Settlement</t>
  </si>
  <si>
    <r>
      <t>7:00 AM ($240 NZD):</t>
    </r>
    <r>
      <rPr>
        <sz val="11"/>
        <color theme="1"/>
        <rFont val="Google Sans Text"/>
        <family val="2"/>
        <charset val="1"/>
      </rPr>
      <t xml:space="preserve"> Board a premium glass-roofed coach from Queenstown. Rest your eyes and look up at the soaring peaks through the glass ceiling as you navigate the winding Milford Road (with scheduled scenic stops at Eglinton Valley and Mirror Lakes).</t>
    </r>
  </si>
  <si>
    <t>• Milford Sound Coach + Cruise (Entire Day)</t>
  </si>
  <si>
    <r>
      <t>1:00 PM:</t>
    </r>
    <r>
      <rPr>
        <sz val="11"/>
        <color theme="1"/>
        <rFont val="Google Sans Text"/>
        <family val="2"/>
        <charset val="1"/>
      </rPr>
      <t xml:space="preserve"> Embark on your Milford Sound Nature Cruise. Glide directly under massive, thundering waterfalls, stand at the bow underneath Mitre Peak, and look out for wild fur seals, penguins, and dolphins.</t>
    </r>
  </si>
  <si>
    <t>• Mirror Lakes &amp; Eglinton Valley Stops</t>
  </si>
  <si>
    <r>
      <t>8:00 PM:</t>
    </r>
    <r>
      <rPr>
        <sz val="11"/>
        <color theme="1"/>
        <rFont val="Google Sans Text"/>
        <family val="2"/>
        <charset val="1"/>
      </rPr>
      <t xml:space="preserve"> Arrive back in Queenstown by coach for a relaxed casual dinner.</t>
    </r>
  </si>
  <si>
    <t>Mount Cook</t>
  </si>
  <si>
    <r>
      <t>8:30 AM:</t>
    </r>
    <r>
      <rPr>
        <sz val="11"/>
        <color theme="1"/>
        <rFont val="Google Sans Text"/>
        <family val="2"/>
        <charset val="1"/>
      </rPr>
      <t xml:space="preserve"> Check out of your Queenstown accommodation and drive through the dramatic golden tussock fields of the Lindis Pass.</t>
    </r>
  </si>
  <si>
    <t>• Lindis Pass Lookout</t>
  </si>
  <si>
    <r>
      <t>11:30 AM ($5 NZD):</t>
    </r>
    <r>
      <rPr>
        <sz val="11"/>
        <color theme="1"/>
        <rFont val="Google Sans Text"/>
        <family val="2"/>
        <charset val="1"/>
      </rPr>
      <t xml:space="preserve"> Pull over at the Clay Cliffs in Omarama for an easy, completely flat 15-minute walk inside towering, sharp gravel pinnacles.</t>
    </r>
  </si>
  <si>
    <t>• Omarama Clay Cliffs</t>
  </si>
  <si>
    <r>
      <t>1:00 PM ($30 NZD):</t>
    </r>
    <r>
      <rPr>
        <sz val="11"/>
        <color theme="1"/>
        <rFont val="Google Sans Text"/>
        <family val="2"/>
        <charset val="1"/>
      </rPr>
      <t xml:space="preserve"> Drive along the edges of neon-blue Lake Pukaki. Stop at Mt Cook Alpine Salmon to pick up ultra-fresh sashimi, then take photos at Peter's Lookout overlooking the lake toward Mt Cook.</t>
    </r>
  </si>
  <si>
    <t>• Lake Pukaki &amp; Alpine Salmon (Peter's Lookout)</t>
  </si>
  <si>
    <r>
      <t>3:30 PM (Free):</t>
    </r>
    <r>
      <rPr>
        <sz val="11"/>
        <color theme="1"/>
        <rFont val="Google Sans Text"/>
        <family val="2"/>
        <charset val="1"/>
      </rPr>
      <t xml:space="preserve"> Arrive at Mount Cook Village. Walk the easy, flat Tasman Glacier Lake / Jetty Track to view giant icebergs floating in the terminal lake.</t>
    </r>
  </si>
  <si>
    <t>• Tasman Glacier Lake / Jetty Track (Queenstown Check-out)</t>
  </si>
  <si>
    <r>
      <t>Night:</t>
    </r>
    <r>
      <rPr>
        <sz val="11"/>
        <color theme="1"/>
        <rFont val="Google Sans Text"/>
        <family val="2"/>
        <charset val="1"/>
      </rPr>
      <t xml:space="preserve"> Check in and stay in Mount Cook Village / Glentanner / Twizel.</t>
    </r>
  </si>
  <si>
    <t>Lake Tekapo</t>
  </si>
  <si>
    <r>
      <t>8:30 AM (Free):</t>
    </r>
    <r>
      <rPr>
        <sz val="11"/>
        <color theme="1"/>
        <rFont val="Google Sans Text"/>
        <family val="2"/>
        <charset val="1"/>
      </rPr>
      <t xml:space="preserve"> Set out early on the world-renowned Hooker Valley Track. It is a remarkably rewarding, mostly flat 10-km track (approx. 3 hours return) that crosses three massive suspension swing bridges and finishes right at the glacier lake at the foot of Aoraki / Mount Cook.</t>
    </r>
  </si>
  <si>
    <t>• Hooker Valley Track (10km return)</t>
  </si>
  <si>
    <r>
      <t>1:30 PM (Free):</t>
    </r>
    <r>
      <rPr>
        <sz val="11"/>
        <color theme="1"/>
        <rFont val="Google Sans Text"/>
        <family val="2"/>
        <charset val="1"/>
      </rPr>
      <t xml:space="preserve"> Drive over to Lake Tekapo (1 hr 15 mins), check in, and photograph the iconic stone Church of the Good Shepherd by the water.</t>
    </r>
  </si>
  <si>
    <t>• Church of the Good Shepherd</t>
  </si>
  <si>
    <r>
      <t>4:30 PM:</t>
    </r>
    <r>
      <rPr>
        <sz val="11"/>
        <color theme="1"/>
        <rFont val="Google Sans Text"/>
        <family val="2"/>
        <charset val="1"/>
      </rPr>
      <t xml:space="preserve"> Relax and soak your legs at Tekapo Springs thermal pools overlooking the lake.</t>
    </r>
  </si>
  <si>
    <t>• Tekapo Springs Hot Pools</t>
  </si>
  <si>
    <r>
      <t>8:30 PM ($129 NZD):</t>
    </r>
    <r>
      <rPr>
        <sz val="11"/>
        <color theme="1"/>
        <rFont val="Google Sans Text"/>
        <family val="2"/>
        <charset val="1"/>
      </rPr>
      <t xml:space="preserve"> Complete your night with the Dark Sky Project guided telescope experience inside the Mackenzie International Dark Sky Reserve.</t>
    </r>
  </si>
  <si>
    <t>• Dark Sky Project Stargazing (8:30 PM)</t>
  </si>
  <si>
    <r>
      <t>9:00 AM (Free):</t>
    </r>
    <r>
      <rPr>
        <sz val="11"/>
        <color theme="1"/>
        <rFont val="Google Sans Text"/>
        <family val="2"/>
        <charset val="1"/>
      </rPr>
      <t xml:space="preserve"> Take a quiet, scenic morning stroll along the pristine, uncrowded shores of nearby Lake Alexandrina.</t>
    </r>
  </si>
  <si>
    <t>• Lake Alexandrina Morning Stroll</t>
  </si>
  <si>
    <r>
      <t>11:30 AM:</t>
    </r>
    <r>
      <rPr>
        <sz val="11"/>
        <color theme="1"/>
        <rFont val="Google Sans Text"/>
        <family val="2"/>
        <charset val="1"/>
      </rPr>
      <t xml:space="preserve"> Drive up to the Mt John Observatory summit and grab coffee/lunch at the glass-walled Astro Café for 360-degree panoramic views over the turquoise lake and Mackenzie Basin.</t>
    </r>
  </si>
  <si>
    <t>• Mt John Observatory Summit &amp; Astro Café</t>
  </si>
  <si>
    <r>
      <t>2:00 PM:</t>
    </r>
    <r>
      <rPr>
        <sz val="11"/>
        <color theme="1"/>
        <rFont val="Google Sans Text"/>
        <family val="2"/>
        <charset val="1"/>
      </rPr>
      <t xml:space="preserve"> Spend a relaxed afternoon exploring the Lake Tekapo lakefront, walking tracks, or souvenir shops.</t>
    </r>
  </si>
  <si>
    <t>• Lake Tekapo Waterfront Leisure</t>
  </si>
  <si>
    <r>
      <t>9:30 AM (Free):</t>
    </r>
    <r>
      <rPr>
        <sz val="11"/>
        <color theme="1"/>
        <rFont val="Google Sans Text"/>
        <family val="2"/>
        <charset val="1"/>
      </rPr>
      <t xml:space="preserve"> Check out of Lake Tekapo and head toward Christchurch across the Canterbury Plains.</t>
    </r>
  </si>
  <si>
    <t>• Scenic Drive to Christchurch</t>
  </si>
  <si>
    <r>
      <t>11:30 AM (Free):</t>
    </r>
    <r>
      <rPr>
        <sz val="11"/>
        <color theme="1"/>
        <rFont val="Google Sans Text"/>
        <family val="2"/>
        <charset val="1"/>
      </rPr>
      <t xml:space="preserve"> Stop midway in the country village of Geraldine for a hot lunch, browse artisan shops, and sample local cheeses at The Geraldine Cheese Company.</t>
    </r>
  </si>
  <si>
    <t>• Artisan Village of Geraldine &amp; The Geraldine Cheese Company</t>
  </si>
  <si>
    <r>
      <t>2:30 PM – 3:00 PM:</t>
    </r>
    <r>
      <rPr>
        <sz val="11"/>
        <color theme="1"/>
        <rFont val="Google Sans Text"/>
        <family val="2"/>
        <charset val="1"/>
      </rPr>
      <t xml:space="preserve"> Arrive back at Christchurch Airport, drop off your rental car, and head to the terminal for your flight home.</t>
    </r>
  </si>
  <si>
    <t>• Christchurch Airport Car Drop-off &amp; Departure</t>
  </si>
  <si>
    <t>Dates</t>
  </si>
  <si>
    <t>Address</t>
  </si>
  <si>
    <t>Gmail Link for More Info</t>
  </si>
  <si>
    <t>Booking Link</t>
  </si>
  <si>
    <t>Booking Platform</t>
  </si>
  <si>
    <t>Cost  (AUD Currently)</t>
  </si>
  <si>
    <t>Check in / Out Time</t>
  </si>
  <si>
    <t>Duplicates Cancelled?</t>
  </si>
  <si>
    <t xml:space="preserve">https://www.google.com/maps/search/?api=1&amp;query=Belmont%20Motor%20Inn%2C%20172%20Bealey%20Avenue%2C%20Christchurch%2C%20New%20Zealand%2C%208013
</t>
  </si>
  <si>
    <t>https://mail.google.com/mail/u/0/?hl=en#label/NZ+Trip/FMfcgzQgMMHNDJStHbfnZrXWNxbvWSGd</t>
  </si>
  <si>
    <t>https://www.agoda.com/en-au/account/editbooking.html?bookingId=wcYpUPpr2wLM96ALV0m2pg%3D%3D&amp;af_force_deeplink=true&amp;af_sub3=2f773c1f-48fc-49b8-80cf-f7e68c99a283&amp;c=CONFIRMATION_EMAIL_ONELINK&amp;pid=redirect&amp;af_dp=agoda%3A%2F%2Fmmb%2F%3FbookingToken%3DwcYpUPpr2wLM96ALV0m2pg%3D%3D&amp;deep_link_value=agoda%3A%2F%2Fmmb%2F%3FbookingToken%3DwcYpUPpr2wLM96ALV0m2pg%3D%3D&amp;af_sub4=Hotel&amp;ds=Y2SYe3X1PFzgEbLz</t>
  </si>
  <si>
    <t xml:space="preserve">Agoda </t>
  </si>
  <si>
    <r>
      <rPr>
        <sz val="11"/>
        <color rgb="FFFF0000"/>
        <rFont val="Calibri"/>
        <family val="2"/>
        <scheme val="minor"/>
      </rPr>
      <t>CHECK IN:</t>
    </r>
    <r>
      <rPr>
        <sz val="11"/>
        <color rgb="FF000000"/>
        <rFont val="Calibri"/>
        <family val="2"/>
        <scheme val="minor"/>
      </rPr>
      <t xml:space="preserve"> After 2pm
</t>
    </r>
    <r>
      <rPr>
        <sz val="11"/>
        <color rgb="FFFF0000"/>
        <rFont val="Calibri"/>
        <family val="2"/>
        <scheme val="minor"/>
      </rPr>
      <t xml:space="preserve">CHECK OUT: </t>
    </r>
    <r>
      <rPr>
        <sz val="11"/>
        <color rgb="FF000000"/>
        <rFont val="Calibri"/>
        <family val="2"/>
        <scheme val="minor"/>
      </rPr>
      <t>Before 10am</t>
    </r>
  </si>
  <si>
    <t xml:space="preserve">	
2 Weld Street, 7810 Hokitika, New Zealand</t>
  </si>
  <si>
    <t>https://mail.google.com/mail/u/0/?hl=en#label/NZ+Trip/FMfcgzQgMMCkNqkRnLbwpfftRfPPGGSJ</t>
  </si>
  <si>
    <r>
      <rPr>
        <sz val="11"/>
        <color rgb="FFFF0000"/>
        <rFont val="Calibri"/>
        <family val="2"/>
        <scheme val="minor"/>
      </rPr>
      <t>CHECK IN:</t>
    </r>
    <r>
      <rPr>
        <sz val="11"/>
        <color rgb="FF000000"/>
        <rFont val="Calibri"/>
        <family val="2"/>
        <scheme val="minor"/>
      </rPr>
      <t xml:space="preserve"> 2pm - 8:30pm
</t>
    </r>
    <r>
      <rPr>
        <sz val="11"/>
        <color rgb="FFFF0000"/>
        <rFont val="Calibri"/>
        <family val="2"/>
        <scheme val="minor"/>
      </rPr>
      <t xml:space="preserve">CHECK OUT: </t>
    </r>
    <r>
      <rPr>
        <sz val="11"/>
        <color rgb="FF000000"/>
        <rFont val="Calibri"/>
        <family val="2"/>
        <scheme val="minor"/>
      </rPr>
      <t>7 - 10am</t>
    </r>
  </si>
  <si>
    <t>1-3 Oct</t>
  </si>
  <si>
    <t>9 Cron Street, Franz Josef Glacier</t>
  </si>
  <si>
    <t>https://mail.google.com/mail/u/0/?hl=en#label/NZ+Trip/FMfcgzQgMgQDhmxWcbqVVrZpdPBZFFTj</t>
  </si>
  <si>
    <t>67 Frye Crescent, ALbert Town, Otago 9305, New Zealand</t>
  </si>
  <si>
    <t xml:space="preserve">AIrbnb </t>
  </si>
  <si>
    <t xml:space="preserve">4-8 Oct </t>
  </si>
  <si>
    <t>6 Nobles Lane Lower Shotover, Queenstown Otago 9304, New Zealand</t>
  </si>
  <si>
    <r>
      <rPr>
        <sz val="11"/>
        <color rgb="FFFF0000"/>
        <rFont val="Calibri"/>
        <family val="2"/>
        <scheme val="minor"/>
      </rPr>
      <t>CHECK IN:</t>
    </r>
    <r>
      <rPr>
        <sz val="11"/>
        <color rgb="FF000000"/>
        <rFont val="Calibri"/>
        <family val="2"/>
        <scheme val="minor"/>
      </rPr>
      <t xml:space="preserve"> Afte 3pm
</t>
    </r>
    <r>
      <rPr>
        <sz val="11"/>
        <color rgb="FFFF0000"/>
        <rFont val="Calibri"/>
        <family val="2"/>
        <scheme val="minor"/>
      </rPr>
      <t xml:space="preserve">CHECK OUT: </t>
    </r>
    <r>
      <rPr>
        <sz val="11"/>
        <color rgb="FF000000"/>
        <rFont val="Calibri"/>
        <family val="2"/>
        <scheme val="minor"/>
      </rPr>
      <t>Before 10am</t>
    </r>
  </si>
  <si>
    <t>Iternarary says checking out of Queenstonw on 9thmorning. Is that correct?</t>
  </si>
  <si>
    <t>15 Sealy Street, Twizel, cantebury 7901, New Zealand</t>
  </si>
  <si>
    <r>
      <rPr>
        <sz val="11"/>
        <color rgb="FFFF0000"/>
        <rFont val="Calibri"/>
        <family val="2"/>
        <scheme val="minor"/>
      </rPr>
      <t>CHECK IN:</t>
    </r>
    <r>
      <rPr>
        <sz val="11"/>
        <color rgb="FF000000"/>
        <rFont val="Calibri"/>
        <family val="2"/>
        <scheme val="minor"/>
      </rPr>
      <t xml:space="preserve"> 3 - 10pm
</t>
    </r>
    <r>
      <rPr>
        <sz val="11"/>
        <color rgb="FFFF0000"/>
        <rFont val="Calibri"/>
        <family val="2"/>
        <scheme val="minor"/>
      </rPr>
      <t>CHECK OUT:</t>
    </r>
    <r>
      <rPr>
        <sz val="11"/>
        <color rgb="FF000000"/>
        <rFont val="Calibri"/>
        <family val="2"/>
        <scheme val="minor"/>
      </rPr>
      <t xml:space="preserve"> Before 10 am</t>
    </r>
  </si>
  <si>
    <t>Recheck if booked rom 9-11 or 8-11?? we do not need the 8th night here isnt it?</t>
  </si>
  <si>
    <t>No booking RETURN</t>
  </si>
  <si>
    <t xml:space="preserve">DAY </t>
  </si>
  <si>
    <t>DATE</t>
  </si>
  <si>
    <t>LOCATION/DRIVE</t>
  </si>
  <si>
    <t>DETAILED PLAN</t>
  </si>
  <si>
    <t>MAIN HIGHLIGHTS</t>
  </si>
  <si>
    <t xml:space="preserve">ACTIVITY COST </t>
  </si>
  <si>
    <t>3:45 PM – 5:30 PM: Head straight into the compact city center. Park the car and take a relaxing loop on the historic Christchurch Tram (the full circuit takes about 50 minutes, making it a perfect low-energy way to see New Regent Street and the city sights right after flying). Follow it up with a short, flat stroll along the Avon River Walk to the Earthquake Memorial.
6:00 PM: Head to Riverside Market or Renee’s Kitchen for dinner. The indoor market is vibrant, warm, and offers heaps of quick, delicious food options.
7:15 PM (Dusk): Drive up to the Port Hills lookouts. In late September/early October, the sun sets around 7:30 PM, so you’ll catch the beautiful golden hour and city lights coming alive right on time.</t>
  </si>
  <si>
    <r>
      <rPr>
        <b/>
        <sz val="12"/>
        <color rgb="FF000000"/>
        <rFont val="Calibri"/>
        <family val="2"/>
        <scheme val="minor"/>
      </rPr>
      <t xml:space="preserve">
</t>
    </r>
    <r>
      <rPr>
        <sz val="12"/>
        <color rgb="FF000000"/>
        <rFont val="Calibri"/>
        <family val="2"/>
        <scheme val="minor"/>
      </rPr>
      <t xml:space="preserve">New Reagent Street Explore
Avon River Walk
Earthquake Memorial 
Riverside Market
Port Hills Lookout </t>
    </r>
  </si>
  <si>
    <t xml:space="preserve">Tram = 45 NZD per person 
Alternate = Punting (Boat Ride) = 45-50 NZD per person </t>
  </si>
  <si>
    <t xml:space="preserve">Hokitika </t>
  </si>
  <si>
    <t>Focus: The spectacular alpine drive across Arthur's Pass.
Morning: Leave Christchurch early. Your first main stop is Castle Hill Conservation Area (Kura Tāwhiti). The walk among the massive limestone boulders is entirely flat and takes just 15–20 minutes.
Midday: Stop at the Porters Pass Viewpoint and drive over the spectacular Otira Viaduct Lookout to admire the engineering marvel nestled in the gorge. Stop in Arthur's Pass village for lunch.
Afternoon: Take the short, well-formed forest walk to the Devils Punchbowl Waterfall (approx. 45–60 mins return, mostly flat with a few steps at the end).
3:30 PM: Drive straight to Hokitika Gorge to do the beautiful, easy loop walk and see the vibrant turquoise water from the swing bridge (doing this today keeps tomorrow morning completely clear for your flight). 
Evening: Arrive in Hokitika. Grab a bite at a local sandwich place or cafe, then head down to Hokitika Beach to see the famous driftwood sign at sunset.</t>
  </si>
  <si>
    <t xml:space="preserve">Castle Hill Conservation Area (Kura Tawhiti) = 15-20 mins walk 
Porters Pass Viewpoint 
Drive over Otira Viaduct Lookout
Arthur's Pass Village 
Devils Punchbowl Waterfall = approx 45-60 mins walk 
Hokitika George Walk 
Find a dinner place 
Hokitika Beach </t>
  </si>
  <si>
    <t xml:space="preserve">FREE </t>
  </si>
  <si>
    <t xml:space="preserve">
1:00 PM: Arrive in Franz Josef and check-in. Head straight to the heli-pad for your Franz Josef Glacier Heli-Hike. Flying today gives you an immediate shot at a clear weather window.
Night: Do the free Terrace Walk right at the edge of the village to spot wild glowworms along the dark forest path.</t>
  </si>
  <si>
    <t xml:space="preserve">
Helicopter Ride 
Terrace walk (spot wild gloworms) not sure about this </t>
  </si>
  <si>
    <t>All Day: If your helicopter flight went ahead yesterday, today is yours to completely relax! Take flat, scenic strolls to Peter's Pool or Sentinel Rock for beautiful glacial valley views. If yesterday’s flight was grounded due to clouds, today is your automatic backup weather window to try again.</t>
  </si>
  <si>
    <t xml:space="preserve">Scenic stroll to Peter's Pool and/or Sentinel Rock </t>
  </si>
  <si>
    <t>Morning: Drive south, pausing for quick roadside views of Fox Glacier.
Midday: Cruise through the Haast Pass. Take the flat, easy 30-minute walk through pristine beech forest to the crystal-clear Blue Pools.
Afternoon: Drive alongside the massive expanses of Lake Hāwea (pulling into roadside bays for zero-hiking views). Arrive in Wanaka.
Late Afternoon: Drive straight to the lakefront park to see That Wānaka Tree. It sits right in the shallows and requires only a flat, 5-minute stroll along the shoreline.</t>
  </si>
  <si>
    <t xml:space="preserve">Fox Glacier 
Pristine Beach Forest Walk to Blue Pools 
Car pit stop at Lake Hawea
Wanaka Tree </t>
  </si>
  <si>
    <t>En-route Queenstown</t>
  </si>
  <si>
    <t>9:30 AM ($10 NZD): Visit the lovely Wānaka Lavender Farm to stroll the spring grounds, feed the farm animals, and try their famous lavender honey ice cream. 
 11:30 AM (Free): Drive over the spectacular alpine Crown Range Road. Since you are keeping this day relaxed, you can take your time stopping at the incredible summit lookouts for free, sweeping views over the valleys. 
 1:30 PM (Free): Arrive in Queenstown and check into your accommodation. Grab a relaxed late lunch by the waterfront.
4:00 PM (Free): Take a slow, flat stroll around the beautiful Queenstown Gardens peninsula right on the edge of Lake Wakatipu to ease into the city's vibe.</t>
  </si>
  <si>
    <t xml:space="preserve">Wanaka Lavendar Farm 
Crown Range Summit Lookout (The Saddle)
Arrow Junction Lookout Point
Steamer Wharf and Earnslaw Park
Queenstown Gardens </t>
  </si>
  <si>
    <t>Wanaka Lavendar Farm approx 10-15 NZD</t>
  </si>
  <si>
    <t>9:30 AM (Free): Drive just 20 minutes out of town to the historic gold-mining town of Arrowtown. Take a flat, easy morning stroll down the preserved 19th-century miners' streets and visit the historic Chinese Settlement.  
12:30 PM ($25 NZD): Head back into Queenstown central and grab lunch at Balls and Bangles (famous for loaded gourmet bagels and over-the-top donuts).
2:00 PM ($99 NZD): Walk over to the Brecon Street terminal to ride the Skyline Queenstown Gondola up Bob's Peak. Race down the gravity-fueled alpine tracks on the Luge (includes Gondola + 3 Luge Rides).</t>
  </si>
  <si>
    <t>Explore Arrowtown 
Gandola?
Below Zero Ice Bar</t>
  </si>
  <si>
    <t xml:space="preserve">99 NZD per person </t>
  </si>
  <si>
    <t>9:00 AM (Free): Drive the breathtaking lakefront road toward Glenorchy. Pull over at Bob’s Cove Viewpoint (easy, flat 30-min return forest walk down to a hidden turquoise cove) and Bennett’s Bluff Lookout.
12:00 PM ($20 NZD): Arrive in Glenorchy and grab a hot, famous gourmet meat pie from Mrs Woolly’s General Store.
1:00 PM (Free): Stroll the flat Glenorchy Walkway boardwalk out to the iconic red lakefront jetty.
2:00 PM (Free): Continue driving 20 minutes past Glenorchy into the jaw-dropping Paradise Valley. The road becomes gravel and guides you directly into ancient beech forests and vast river plains used as the backdrop for Isengard in Lord of the Rings—zero hiking required for immense views.</t>
  </si>
  <si>
    <t>Drive towards Glenorchy (Bob's Cove Viewpoint = Walk)
Bennett's Bluff Lookout
Glenorchy Walkway boardwalk
Paradise Valley</t>
  </si>
  <si>
    <t>7:00 AM ($240 NZD): Board a premium glass-roofed coach from Queenstown. Rest your eyes and look up at the soaring peaks through the glass ceiling as you navigate the winding Milford Road.
1:00 PM: Embark on your Milford Sound Nature Cruise. Glide directly under massive, thundering waterfalls, stand at the bow underneath Mitre Peak, and look out for wild fur seals, penguins, and dolphins.
8:00 PM: Arrive back in Queenstown by coach for a relaxed casual dinner.</t>
  </si>
  <si>
    <t>MilfordSound Coach + Cruise (Entire Day)</t>
  </si>
  <si>
    <t>240 NZD per person I think (Coach plus Cruise)</t>
  </si>
  <si>
    <r>
      <rPr>
        <b/>
        <sz val="12"/>
        <color rgb="FF000000"/>
        <rFont val="Calibri"/>
        <family val="2"/>
        <scheme val="minor"/>
      </rPr>
      <t xml:space="preserve">10:00 AM ($166 NZD): Hold on tight for a high-speed Shotover Jetboating ride, skimming inches away from dramatic, narrow rock canyon walls.
</t>
    </r>
    <r>
      <rPr>
        <sz val="12"/>
        <color rgb="FF000000"/>
        <rFont val="Calibri"/>
        <family val="2"/>
        <scheme val="minor"/>
      </rPr>
      <t xml:space="preserve">
10:00 AM ($115 NZD): Skip the jetboat and the high country farm stop. Instead, book the standalone TSS Earnslaw Lake Cruise. You still get the iconic 1.5-hour experience of cruising on the 110-year-old vintage steamship across Lake Wakatipu, watching the open coal-fired engine room, and enjoying the mountain views.  
12:00 PM ($25 NZD): Grab a casual lunch at a local bakery or cafe along the Queenstown waterfront.
1:30 PM (Free): Take a beautiful, zero-hiking scenic drive out along the hidden side of the lake towards Kelvin Heights peninsula or Jacks Point. Pull into the lakeside bays for incredible, massive views of the Remarkables mountain range reflecting in the water—completely for free.
Late Afternoon (Free): Stroll the easy Arthur’s Point Trail down to the historic Hugo Tunnel.</t>
    </r>
  </si>
  <si>
    <t xml:space="preserve">Shotover Jetboadting Ride OR do  TSS Earnslaw Lake Cruise
Drive to  Kelvin Heights peninsula or Jacks Point
Stroll Arthur's Point trail to Hugo Tunnel </t>
  </si>
  <si>
    <t>Cost could vary depening on what you do
Jetboat is 149 but if discounted you can get for 82 NXD per person  
Cruise 119 NZD</t>
  </si>
  <si>
    <t>8:30 AM (Free): Check out of Queenstown and drive through the dramatic golden tussock fields of the Lindis Pass.
11:30 AM ($5 NZD): Pull over at the Clay Cliffs in Omarama for an easy, completely flat 15-minute walk inside towering, sharp gravel pinnacles.
1:00 PM ($30 NZD): Drive along the edges of neon-blue Lake Pukaki. Make a dedicated stop at Mt Cook Alpine Salmon to pick up ultra-fresh, locally raised sashimi to eat right on the lake's edge.
3:30 PM (Free): Arrive at Mount Cook Village. Walk the easy, flat Tasman Glacier View track (20 mins) to view giant icebergs floating in the terminal lake.</t>
  </si>
  <si>
    <t xml:space="preserve">Lindis Pass Lookout
Omarama CLay Cliffs
Lake Pukaki &amp; Alphine  Salmon (Peter's Lookout)
Tasman Glacier View Track (if do not want the stairs) then Tasman Lake / Jetty Track
</t>
  </si>
  <si>
    <t xml:space="preserve">Free except food </t>
  </si>
  <si>
    <t>8:30 AM (Free): Set out early on the world-renowned Hooker Valley Track. It is a remarkably rewarding, mostly flat 10-km track (approx. 3 hours return) that crosses three massive suspension swing bridges and finishes right at the glacier lake at the foot of Aoraki / Mount Cook.
1:30 PM (Free): Drive over to Lake Tekapo and photograph the iconic stone Church of the Good Shepherd by the water.
8:30 PM ($129 NZD): Complete your trip with the Dark Sky Project guided telescope experience inside the Mackenzie International Dark Sky Reserve.</t>
  </si>
  <si>
    <t>Hooker Valley Track (10km return)
Church of the Good Shepherd</t>
  </si>
  <si>
    <t>FREE</t>
  </si>
  <si>
    <t>9:00 AM (Free): Take a final quiet, scenic morning stroll along the pristine shores of nearby Lake Alexandrina.
12:00 PM (Free): Stop midway in the country village of Geraldine for a hot lunch and to browse artisan shops.
3:00 PM: Arrive back at Christchurch Airport, drop off your rental car, and head to the terminal for your flight home.</t>
  </si>
  <si>
    <t xml:space="preserve">Lake ALexandrina
Artisan Village of Geraldine
The Geraldine Cheese COmpany 
</t>
  </si>
  <si>
    <t>Car Hire: APEX Car Rentals -  Christchurch Airport</t>
  </si>
  <si>
    <r>
      <rPr>
        <sz val="11"/>
        <color rgb="FF000000"/>
        <rFont val="Calibri"/>
        <family val="2"/>
      </rPr>
      <t xml:space="preserve">Contact at Car rental while booking: </t>
    </r>
    <r>
      <rPr>
        <b/>
        <sz val="11"/>
        <color rgb="FF000000"/>
        <rFont val="Calibri"/>
        <family val="2"/>
      </rPr>
      <t>Hamish</t>
    </r>
  </si>
  <si>
    <r>
      <t>Your hire is now FULLY CONFIRMED and your booking number is </t>
    </r>
    <r>
      <rPr>
        <sz val="11"/>
        <color rgb="FF000000"/>
        <rFont val="Montserrat Medium Web"/>
        <charset val="1"/>
      </rPr>
      <t>4174153</t>
    </r>
  </si>
  <si>
    <r>
      <rPr>
        <sz val="11"/>
        <color rgb="FF000000"/>
        <rFont val="Calibri"/>
        <family val="2"/>
      </rPr>
      <t xml:space="preserve">Booked </t>
    </r>
    <r>
      <rPr>
        <b/>
        <sz val="11"/>
        <color rgb="FF000000"/>
        <rFont val="Calibri"/>
        <family val="2"/>
      </rPr>
      <t xml:space="preserve">Mistubishi ASX </t>
    </r>
    <r>
      <rPr>
        <sz val="11"/>
        <color rgb="FF000000"/>
        <rFont val="Calibri"/>
        <family val="2"/>
      </rPr>
      <t>or sim</t>
    </r>
    <r>
      <rPr>
        <b/>
        <sz val="11"/>
        <color rgb="FF000000"/>
        <rFont val="Calibri"/>
        <family val="2"/>
      </rPr>
      <t>ilar Small SUV</t>
    </r>
    <r>
      <rPr>
        <sz val="11"/>
        <color rgb="FF000000"/>
        <rFont val="Calibri"/>
        <family val="2"/>
      </rPr>
      <t xml:space="preserve"> from </t>
    </r>
    <r>
      <rPr>
        <b/>
        <sz val="11"/>
        <color rgb="FF000000"/>
        <rFont val="Calibri"/>
        <family val="2"/>
      </rPr>
      <t xml:space="preserve">Tue, 29 Sept 2026 3pm </t>
    </r>
    <r>
      <rPr>
        <sz val="11"/>
        <color rgb="FF000000"/>
        <rFont val="Calibri"/>
        <family val="2"/>
      </rPr>
      <t xml:space="preserve">to </t>
    </r>
    <r>
      <rPr>
        <b/>
        <sz val="11"/>
        <color rgb="FF000000"/>
        <rFont val="Calibri"/>
        <family val="2"/>
      </rPr>
      <t>Sun,11 Oct 2026 3pm</t>
    </r>
  </si>
  <si>
    <t>Added $0 Excess to the booking - No roadside assist</t>
  </si>
  <si>
    <t>Added Sheen Hangloo as the extra driver</t>
  </si>
  <si>
    <t xml:space="preserve">Activity </t>
  </si>
  <si>
    <t>Booking</t>
  </si>
  <si>
    <t>Cost</t>
  </si>
  <si>
    <t>Helicopter Ride at Franz Josef</t>
  </si>
  <si>
    <t xml:space="preserve">Milford Sound Day Tour </t>
  </si>
  <si>
    <t>Booked</t>
  </si>
  <si>
    <t>460 AUD</t>
  </si>
  <si>
    <t xml:space="preserve">Jetboat </t>
  </si>
  <si>
    <t>Te Anau Glow Worms (cave)</t>
  </si>
  <si>
    <t xml:space="preserve">Items Required </t>
  </si>
  <si>
    <t>Raincoats x 2</t>
  </si>
  <si>
    <t>Good shoes for hikes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</si>
</sst>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b/>
      <sz val="16"/>
      <color theme="0" tint="-4.9989318521683403E-2"/>
      <name val="Calibri"/>
      <family val="2"/>
      <scheme val="minor"/>
    </font>
    <font>
      <sz val="11"/>
      <color rgb="FF000000"/>
      <name val="Montserrat Medium Web"/>
      <charset val="1"/>
    </font>
    <font>
      <sz val="11"/>
      <color rgb="FF000000"/>
      <name val="Calibri"/>
      <family val="2"/>
    </font>
    <font>
      <b/>
      <sz val="11"/>
      <color rgb="FF000000"/>
      <name val="Calibri"/>
      <family val="2"/>
    </font>
    <font>
      <u/>
      <sz val="11"/>
      <color theme="10"/>
      <name val="Calibri"/>
      <family val="2"/>
      <scheme val="minor"/>
    </font>
    <font>
      <sz val="11"/>
      <color rgb="FF000000"/>
      <name val="Calibri"/>
      <family val="2"/>
    </font>
    <font>
      <sz val="11"/>
      <color rgb="FFFF0000"/>
      <name val="Calibri"/>
      <family val="2"/>
      <scheme val="minor"/>
    </font>
    <font>
      <sz val="11"/>
      <color rgb="FF000000"/>
      <name val="Calibri"/>
      <family val="2"/>
      <scheme val="minor"/>
    </font>
    <font>
      <b/>
      <sz val="11"/>
      <color theme="1"/>
      <name val="Google Sans Text"/>
      <family val="2"/>
      <charset val="1"/>
    </font>
    <font>
      <sz val="11"/>
      <color theme="1"/>
      <name val="Google Sans Text"/>
      <family val="2"/>
      <charset val="1"/>
    </font>
    <font>
      <i/>
      <sz val="11"/>
      <color theme="1"/>
      <name val="Google Sans Text"/>
      <family val="2"/>
      <charset val="1"/>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s>
  <borders count="5">
    <border>
      <left/>
      <right/>
      <top/>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diagonal/>
    </border>
    <border>
      <left style="thin">
        <color rgb="FFC4C7C5"/>
      </left>
      <right style="thin">
        <color rgb="FFC4C7C5"/>
      </right>
      <top/>
      <bottom/>
      <diagonal/>
    </border>
    <border>
      <left style="thin">
        <color rgb="FFC4C7C5"/>
      </left>
      <right style="thin">
        <color rgb="FFC4C7C5"/>
      </right>
      <top/>
      <bottom style="thin">
        <color rgb="FFC4C7C5"/>
      </bottom>
      <diagonal/>
    </border>
  </borders>
  <cellStyleXfs count="2">
    <xf numFmtId="0" fontId="0" fillId="0" borderId="0"/>
    <xf numFmtId="0" fontId="11" fillId="0" borderId="0" applyNumberFormat="0" applyFill="0" applyBorder="0" applyAlignment="0" applyProtection="0"/>
  </cellStyleXfs>
  <cellXfs count="56">
    <xf numFmtId="0" fontId="0" fillId="0" borderId="0" xfId="0"/>
    <xf numFmtId="0" fontId="2" fillId="0" borderId="0" xfId="0" applyFont="1"/>
    <xf numFmtId="16" fontId="0" fillId="0" borderId="0" xfId="0" applyNumberFormat="1"/>
    <xf numFmtId="0" fontId="0" fillId="0" borderId="0" xfId="0" applyAlignment="1">
      <alignment wrapText="1"/>
    </xf>
    <xf numFmtId="0" fontId="0" fillId="0" borderId="0" xfId="0" applyAlignment="1">
      <alignment horizontal="right"/>
    </xf>
    <xf numFmtId="16" fontId="0" fillId="0" borderId="0" xfId="0" applyNumberFormat="1" applyAlignment="1">
      <alignment horizontal="right"/>
    </xf>
    <xf numFmtId="0" fontId="0" fillId="2" borderId="0" xfId="0" applyFill="1"/>
    <xf numFmtId="0" fontId="2" fillId="0" borderId="0" xfId="0" applyFont="1" applyAlignment="1">
      <alignment wrapText="1"/>
    </xf>
    <xf numFmtId="164" fontId="0" fillId="0" borderId="0" xfId="0" applyNumberFormat="1"/>
    <xf numFmtId="164" fontId="2" fillId="0" borderId="0" xfId="0" applyNumberFormat="1" applyFont="1"/>
    <xf numFmtId="0" fontId="0" fillId="3" borderId="0" xfId="0" applyFill="1"/>
    <xf numFmtId="0" fontId="0" fillId="3" borderId="0" xfId="0" applyFill="1" applyAlignment="1">
      <alignment horizontal="right"/>
    </xf>
    <xf numFmtId="164" fontId="0" fillId="3" borderId="0" xfId="0" applyNumberFormat="1" applyFill="1"/>
    <xf numFmtId="0" fontId="2" fillId="4" borderId="0" xfId="0" applyFont="1" applyFill="1"/>
    <xf numFmtId="0" fontId="3" fillId="0" borderId="0" xfId="0" applyFont="1"/>
    <xf numFmtId="0" fontId="4" fillId="0" borderId="0" xfId="0" applyFont="1" applyAlignment="1">
      <alignment horizontal="center" vertical="center"/>
    </xf>
    <xf numFmtId="0" fontId="7" fillId="5" borderId="0" xfId="0" applyFont="1" applyFill="1"/>
    <xf numFmtId="0" fontId="3" fillId="0" borderId="0" xfId="0" applyFont="1" applyAlignment="1">
      <alignment horizontal="center" vertical="center"/>
    </xf>
    <xf numFmtId="0" fontId="5" fillId="0" borderId="0" xfId="0" applyFont="1" applyAlignment="1">
      <alignment horizontal="center" vertical="center" wrapText="1"/>
    </xf>
    <xf numFmtId="0" fontId="3" fillId="0" borderId="0" xfId="0" applyFont="1" applyAlignment="1">
      <alignment horizontal="center" vertical="center" wrapText="1"/>
    </xf>
    <xf numFmtId="0" fontId="8" fillId="0" borderId="0" xfId="0" applyFont="1"/>
    <xf numFmtId="0" fontId="0" fillId="6" borderId="0" xfId="0" applyFill="1"/>
    <xf numFmtId="0" fontId="0" fillId="7" borderId="0" xfId="0" applyFill="1"/>
    <xf numFmtId="0" fontId="9" fillId="0" borderId="0" xfId="0" applyFont="1"/>
    <xf numFmtId="16" fontId="3" fillId="0" borderId="0" xfId="0" applyNumberFormat="1" applyFont="1" applyAlignment="1">
      <alignment horizontal="center" vertical="center"/>
    </xf>
    <xf numFmtId="16" fontId="3" fillId="0" borderId="0" xfId="0" applyNumberFormat="1" applyFont="1" applyAlignment="1">
      <alignment horizontal="center" vertical="center" wrapText="1"/>
    </xf>
    <xf numFmtId="0" fontId="0" fillId="0" borderId="0" xfId="0" applyAlignment="1">
      <alignment horizontal="center" vertical="center" wrapText="1"/>
    </xf>
    <xf numFmtId="0" fontId="2" fillId="8" borderId="0" xfId="0" applyFont="1" applyFill="1" applyAlignment="1">
      <alignment horizontal="center"/>
    </xf>
    <xf numFmtId="0" fontId="11" fillId="0" borderId="0" xfId="1" applyAlignment="1">
      <alignment horizontal="center" vertical="center" wrapText="1"/>
    </xf>
    <xf numFmtId="0" fontId="6" fillId="0" borderId="0" xfId="0" applyFont="1" applyAlignment="1">
      <alignment horizontal="center" vertical="center"/>
    </xf>
    <xf numFmtId="0" fontId="2" fillId="8" borderId="0" xfId="0" applyFont="1" applyFill="1" applyAlignment="1">
      <alignment wrapText="1"/>
    </xf>
    <xf numFmtId="0" fontId="0" fillId="0" borderId="0" xfId="0" applyAlignment="1">
      <alignment horizontal="center" vertical="center"/>
    </xf>
    <xf numFmtId="16" fontId="0" fillId="0" borderId="0" xfId="0" applyNumberFormat="1" applyAlignment="1">
      <alignment horizontal="center" vertical="center"/>
    </xf>
    <xf numFmtId="0" fontId="12" fillId="0" borderId="0" xfId="0" applyFont="1" applyAlignment="1">
      <alignment horizontal="center" vertical="center" wrapText="1"/>
    </xf>
    <xf numFmtId="0" fontId="15" fillId="0" borderId="1" xfId="0" applyFont="1" applyBorder="1"/>
    <xf numFmtId="0" fontId="16" fillId="0" borderId="2" xfId="0" applyFont="1" applyBorder="1"/>
    <xf numFmtId="16" fontId="16" fillId="0" borderId="2" xfId="0" applyNumberFormat="1" applyFont="1" applyBorder="1"/>
    <xf numFmtId="0" fontId="0" fillId="0" borderId="3" xfId="0" applyBorder="1"/>
    <xf numFmtId="0" fontId="16" fillId="0" borderId="3" xfId="0" applyFont="1" applyBorder="1"/>
    <xf numFmtId="0" fontId="0" fillId="0" borderId="4" xfId="0" applyBorder="1"/>
    <xf numFmtId="0" fontId="16" fillId="0" borderId="4" xfId="0" applyFont="1" applyBorder="1"/>
    <xf numFmtId="0" fontId="15" fillId="0" borderId="2" xfId="0" applyFont="1" applyBorder="1" applyAlignment="1">
      <alignment wrapText="1"/>
    </xf>
    <xf numFmtId="0" fontId="15" fillId="0" borderId="3" xfId="0" applyFont="1" applyBorder="1" applyAlignment="1">
      <alignment wrapText="1"/>
    </xf>
    <xf numFmtId="0" fontId="0" fillId="0" borderId="4" xfId="0" applyBorder="1" applyAlignment="1">
      <alignment wrapText="1"/>
    </xf>
    <xf numFmtId="0" fontId="15" fillId="0" borderId="4" xfId="0" applyFont="1" applyBorder="1" applyAlignment="1">
      <alignment wrapText="1"/>
    </xf>
    <xf numFmtId="0" fontId="17" fillId="0" borderId="4" xfId="0" applyFont="1" applyBorder="1" applyAlignment="1">
      <alignment wrapText="1"/>
    </xf>
    <xf numFmtId="0" fontId="16" fillId="2" borderId="2" xfId="0" applyFont="1" applyFill="1" applyBorder="1"/>
    <xf numFmtId="16" fontId="16" fillId="2" borderId="2" xfId="0" applyNumberFormat="1" applyFont="1" applyFill="1" applyBorder="1"/>
    <xf numFmtId="0" fontId="15" fillId="2" borderId="2" xfId="0" applyFont="1" applyFill="1" applyBorder="1" applyAlignment="1">
      <alignment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164" fontId="0" fillId="0" borderId="0" xfId="0" applyNumberFormat="1"/>
    <xf numFmtId="16" fontId="0" fillId="0" borderId="0" xfId="0" applyNumberFormat="1" applyAlignment="1">
      <alignment horizontal="center" vertical="center"/>
    </xf>
    <xf numFmtId="0" fontId="1" fillId="0" borderId="0" xfId="0" applyFont="1" applyAlignment="1">
      <alignment horizontal="center" vertical="center" wrapText="1"/>
    </xf>
    <xf numFmtId="0" fontId="0" fillId="0" borderId="0" xfId="0"/>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mail.google.com/mail/u/0/?hl=en" TargetMode="External"/><Relationship Id="rId2" Type="http://schemas.openxmlformats.org/officeDocument/2006/relationships/hyperlink" Target="https://www.google.com/maps/search/?api=1&amp;query=Belmont%20Motor%20Inn%2C%20172%20Bealey%20Avenue%2C%20Christchurch%2C%20New%20Zealand%2C%208013" TargetMode="External"/><Relationship Id="rId1" Type="http://schemas.openxmlformats.org/officeDocument/2006/relationships/hyperlink" Target="https://mail.google.com/mail/u/0/?hl=en" TargetMode="External"/><Relationship Id="rId5" Type="http://schemas.openxmlformats.org/officeDocument/2006/relationships/hyperlink" Target="https://www.agoda.com/en-au/account/editbooking.html?bookingId=wcYpUPpr2wLM96ALV0m2pg%3D%3D&amp;af_force_deeplink=true&amp;af_sub3=2f773c1f-48fc-49b8-80cf-f7e68c99a283&amp;c=CONFIRMATION_EMAIL_ONELINK&amp;pid=redirect&amp;af_dp=agoda%3A%2F%2Fmmb%2F%3FbookingToken%3DwcYpUPpr2wLM96ALV0m2pg%3D%3D&amp;deep_link_value=agoda%3A%2F%2Fmmb%2F%3FbookingToken%3DwcYpUPpr2wLM96ALV0m2pg%3D%3D&amp;af_sub4=Hotel&amp;ds=Y2SYe3X1PFzgEbLz" TargetMode="External"/><Relationship Id="rId4" Type="http://schemas.openxmlformats.org/officeDocument/2006/relationships/hyperlink" Target="https://mail.google.com/mail/u/0/?h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workbookViewId="0">
      <selection activeCell="E6" sqref="E6"/>
    </sheetView>
  </sheetViews>
  <sheetFormatPr baseColWidth="10" defaultColWidth="8.83203125" defaultRowHeight="15"/>
  <cols>
    <col min="1" max="1" width="23.5" customWidth="1"/>
    <col min="2" max="2" width="13.1640625" hidden="1" customWidth="1"/>
    <col min="3" max="3" width="13.1640625" customWidth="1"/>
    <col min="4" max="4" width="16.5" customWidth="1"/>
    <col min="5" max="5" width="22" bestFit="1" customWidth="1"/>
    <col min="6" max="8" width="14.5" customWidth="1"/>
    <col min="9" max="9" width="36.5" bestFit="1" customWidth="1"/>
    <col min="10" max="10" width="15.5" customWidth="1"/>
  </cols>
  <sheetData>
    <row r="1" spans="1:10" ht="32">
      <c r="A1" s="1" t="s">
        <v>0</v>
      </c>
      <c r="B1" s="1" t="s">
        <v>1</v>
      </c>
      <c r="C1" s="1" t="s">
        <v>2</v>
      </c>
      <c r="D1" s="1" t="s">
        <v>3</v>
      </c>
      <c r="E1" s="1" t="s">
        <v>4</v>
      </c>
      <c r="F1" s="1" t="s">
        <v>5</v>
      </c>
      <c r="G1" s="1" t="s">
        <v>6</v>
      </c>
      <c r="H1" s="7" t="s">
        <v>7</v>
      </c>
      <c r="I1" s="1" t="s">
        <v>8</v>
      </c>
      <c r="J1" t="s">
        <v>9</v>
      </c>
    </row>
    <row r="2" spans="1:10">
      <c r="A2" t="s">
        <v>10</v>
      </c>
      <c r="B2" s="2">
        <v>46294</v>
      </c>
      <c r="C2" s="2">
        <v>46294</v>
      </c>
      <c r="D2">
        <v>1</v>
      </c>
      <c r="E2" t="s">
        <v>11</v>
      </c>
      <c r="F2" t="s">
        <v>12</v>
      </c>
      <c r="G2" t="s">
        <v>13</v>
      </c>
      <c r="H2" s="8">
        <v>102</v>
      </c>
      <c r="J2">
        <v>102</v>
      </c>
    </row>
    <row r="3" spans="1:10">
      <c r="A3" t="s">
        <v>14</v>
      </c>
      <c r="B3" s="2">
        <v>46295</v>
      </c>
      <c r="C3" s="2">
        <v>46295</v>
      </c>
      <c r="D3">
        <v>1</v>
      </c>
      <c r="E3" t="s">
        <v>15</v>
      </c>
      <c r="F3" t="s">
        <v>12</v>
      </c>
      <c r="G3" t="s">
        <v>16</v>
      </c>
      <c r="H3" s="8">
        <v>111</v>
      </c>
      <c r="J3">
        <v>111</v>
      </c>
    </row>
    <row r="4" spans="1:10">
      <c r="A4" t="s">
        <v>17</v>
      </c>
      <c r="B4" s="2">
        <v>46296</v>
      </c>
      <c r="C4" s="2" t="s">
        <v>18</v>
      </c>
      <c r="D4">
        <v>1</v>
      </c>
      <c r="E4" t="s">
        <v>11</v>
      </c>
      <c r="F4" t="s">
        <v>12</v>
      </c>
      <c r="G4" t="s">
        <v>19</v>
      </c>
      <c r="H4" s="8">
        <v>99</v>
      </c>
      <c r="I4" t="s">
        <v>20</v>
      </c>
      <c r="J4">
        <v>204</v>
      </c>
    </row>
    <row r="5" spans="1:10">
      <c r="A5" t="s">
        <v>21</v>
      </c>
      <c r="B5" s="2">
        <v>46297</v>
      </c>
      <c r="C5" s="2" t="s">
        <v>22</v>
      </c>
      <c r="D5">
        <v>1</v>
      </c>
      <c r="E5" t="s">
        <v>15</v>
      </c>
      <c r="F5" t="s">
        <v>12</v>
      </c>
      <c r="G5" t="s">
        <v>23</v>
      </c>
      <c r="H5" s="8">
        <v>153</v>
      </c>
      <c r="J5">
        <v>145</v>
      </c>
    </row>
    <row r="6" spans="1:10" ht="32">
      <c r="A6" t="s">
        <v>24</v>
      </c>
      <c r="B6" s="4" t="s">
        <v>25</v>
      </c>
      <c r="C6" s="4" t="s">
        <v>26</v>
      </c>
      <c r="D6">
        <v>4</v>
      </c>
      <c r="E6" t="s">
        <v>15</v>
      </c>
      <c r="F6" t="s">
        <v>12</v>
      </c>
      <c r="G6" t="s">
        <v>27</v>
      </c>
      <c r="H6" s="8">
        <v>495</v>
      </c>
      <c r="I6" s="3" t="s">
        <v>28</v>
      </c>
      <c r="J6">
        <v>688</v>
      </c>
    </row>
    <row r="7" spans="1:10" ht="13.5" customHeight="1">
      <c r="A7" s="3" t="s">
        <v>29</v>
      </c>
      <c r="B7" s="5" t="s">
        <v>30</v>
      </c>
      <c r="C7" s="5" t="s">
        <v>31</v>
      </c>
      <c r="D7">
        <v>2</v>
      </c>
      <c r="E7" s="51" t="s">
        <v>32</v>
      </c>
      <c r="F7" s="51" t="s">
        <v>33</v>
      </c>
      <c r="G7" s="55" t="s">
        <v>34</v>
      </c>
      <c r="H7" s="52">
        <v>542</v>
      </c>
      <c r="J7">
        <v>542</v>
      </c>
    </row>
    <row r="8" spans="1:10">
      <c r="A8" t="s">
        <v>35</v>
      </c>
      <c r="B8" s="2">
        <v>46305</v>
      </c>
      <c r="C8" s="2"/>
      <c r="D8">
        <v>1</v>
      </c>
      <c r="E8" s="51"/>
      <c r="F8" s="51"/>
      <c r="G8" s="55"/>
      <c r="H8" s="52"/>
    </row>
    <row r="9" spans="1:10">
      <c r="A9" t="s">
        <v>10</v>
      </c>
      <c r="B9" s="2">
        <v>46306</v>
      </c>
      <c r="C9" s="2"/>
      <c r="D9">
        <v>0</v>
      </c>
      <c r="E9" t="s">
        <v>36</v>
      </c>
    </row>
    <row r="10" spans="1:10">
      <c r="D10" s="6">
        <f>SUM(D2:D9)</f>
        <v>11</v>
      </c>
      <c r="H10" s="9">
        <f>SUM(H2:H9)</f>
        <v>1502</v>
      </c>
      <c r="J10" s="13">
        <f>SUM(J2:J7)</f>
        <v>1792</v>
      </c>
    </row>
    <row r="12" spans="1:10">
      <c r="A12" s="10" t="s">
        <v>37</v>
      </c>
      <c r="B12" s="11" t="s">
        <v>38</v>
      </c>
      <c r="C12" s="11"/>
      <c r="D12" s="10">
        <v>2</v>
      </c>
      <c r="E12" s="10" t="s">
        <v>32</v>
      </c>
      <c r="F12" s="10" t="s">
        <v>33</v>
      </c>
      <c r="G12" s="10" t="s">
        <v>39</v>
      </c>
      <c r="H12" s="12">
        <v>373</v>
      </c>
      <c r="I12" s="3"/>
    </row>
    <row r="15" spans="1:10">
      <c r="A15" s="1" t="s">
        <v>40</v>
      </c>
    </row>
  </sheetData>
  <mergeCells count="4">
    <mergeCell ref="E7:E8"/>
    <mergeCell ref="F7:F8"/>
    <mergeCell ref="G7:G8"/>
    <mergeCell ref="H7:H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EB28-9087-400F-AA4C-470F57131C46}">
  <dimension ref="A1:B9"/>
  <sheetViews>
    <sheetView topLeftCell="A6" workbookViewId="0">
      <selection activeCell="B2" sqref="B2:B9"/>
    </sheetView>
  </sheetViews>
  <sheetFormatPr baseColWidth="10" defaultColWidth="8.83203125" defaultRowHeight="15"/>
  <cols>
    <col min="1" max="1" width="18.5" bestFit="1" customWidth="1"/>
    <col min="2" max="2" width="43.33203125" customWidth="1"/>
  </cols>
  <sheetData>
    <row r="1" spans="1:2">
      <c r="A1" s="1" t="s">
        <v>41</v>
      </c>
      <c r="B1" s="1" t="s">
        <v>42</v>
      </c>
    </row>
    <row r="2" spans="1:2" ht="160">
      <c r="A2" t="s">
        <v>43</v>
      </c>
      <c r="B2" s="3" t="s">
        <v>44</v>
      </c>
    </row>
    <row r="3" spans="1:2">
      <c r="A3" t="s">
        <v>14</v>
      </c>
    </row>
    <row r="4" spans="1:2">
      <c r="A4" t="s">
        <v>45</v>
      </c>
      <c r="B4" t="s">
        <v>46</v>
      </c>
    </row>
    <row r="5" spans="1:2" ht="48">
      <c r="A5" t="s">
        <v>21</v>
      </c>
      <c r="B5" s="3" t="s">
        <v>47</v>
      </c>
    </row>
    <row r="6" spans="1:2" ht="96">
      <c r="A6" t="s">
        <v>48</v>
      </c>
      <c r="B6" s="3" t="s">
        <v>49</v>
      </c>
    </row>
    <row r="7" spans="1:2" ht="32">
      <c r="A7" t="s">
        <v>37</v>
      </c>
      <c r="B7" s="3" t="s">
        <v>50</v>
      </c>
    </row>
    <row r="8" spans="1:2">
      <c r="A8" t="s">
        <v>29</v>
      </c>
    </row>
    <row r="9" spans="1:2">
      <c r="A9" t="s">
        <v>45</v>
      </c>
      <c r="B9"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8269B-F42E-4A87-B48A-B0A1CA611C03}">
  <dimension ref="A1:E64"/>
  <sheetViews>
    <sheetView topLeftCell="A44" workbookViewId="0">
      <selection activeCell="A2" sqref="A2:XFD2"/>
    </sheetView>
  </sheetViews>
  <sheetFormatPr baseColWidth="10" defaultColWidth="8.83203125" defaultRowHeight="15"/>
  <cols>
    <col min="1" max="1" width="5" bestFit="1" customWidth="1"/>
    <col min="2" max="2" width="7.83203125" bestFit="1" customWidth="1"/>
    <col min="4" max="5" width="95.5" customWidth="1"/>
  </cols>
  <sheetData>
    <row r="1" spans="1:5">
      <c r="A1" s="34" t="s">
        <v>52</v>
      </c>
      <c r="B1" s="34" t="s">
        <v>53</v>
      </c>
      <c r="C1" s="34" t="s">
        <v>54</v>
      </c>
      <c r="D1" s="34" t="s">
        <v>55</v>
      </c>
      <c r="E1" s="34" t="s">
        <v>56</v>
      </c>
    </row>
    <row r="2" spans="1:5" ht="16">
      <c r="A2" s="35">
        <v>1</v>
      </c>
      <c r="B2" s="36">
        <v>46294</v>
      </c>
      <c r="C2" s="35" t="s">
        <v>10</v>
      </c>
      <c r="D2" s="41" t="s">
        <v>57</v>
      </c>
      <c r="E2" s="35" t="s">
        <v>58</v>
      </c>
    </row>
    <row r="3" spans="1:5" ht="62">
      <c r="A3" s="37"/>
      <c r="B3" s="37"/>
      <c r="C3" s="37"/>
      <c r="D3" s="42" t="s">
        <v>59</v>
      </c>
      <c r="E3" s="38" t="s">
        <v>60</v>
      </c>
    </row>
    <row r="4" spans="1:5" ht="32">
      <c r="A4" s="37"/>
      <c r="B4" s="37"/>
      <c r="C4" s="37"/>
      <c r="D4" s="42" t="s">
        <v>61</v>
      </c>
      <c r="E4" s="38" t="s">
        <v>62</v>
      </c>
    </row>
    <row r="5" spans="1:5" ht="32">
      <c r="A5" s="37"/>
      <c r="B5" s="37"/>
      <c r="C5" s="37"/>
      <c r="D5" s="42" t="s">
        <v>63</v>
      </c>
      <c r="E5" s="38" t="s">
        <v>64</v>
      </c>
    </row>
    <row r="6" spans="1:5">
      <c r="A6" s="39"/>
      <c r="B6" s="39"/>
      <c r="C6" s="39"/>
      <c r="D6" s="43"/>
      <c r="E6" s="40" t="s">
        <v>65</v>
      </c>
    </row>
    <row r="7" spans="1:5" s="6" customFormat="1" ht="16">
      <c r="A7" s="46">
        <v>2</v>
      </c>
      <c r="B7" s="47">
        <v>46295</v>
      </c>
      <c r="C7" s="46" t="s">
        <v>14</v>
      </c>
      <c r="D7" s="48" t="s">
        <v>66</v>
      </c>
      <c r="E7" s="46" t="s">
        <v>67</v>
      </c>
    </row>
    <row r="8" spans="1:5" ht="32">
      <c r="A8" s="37"/>
      <c r="B8" s="37"/>
      <c r="C8" s="37"/>
      <c r="D8" s="42" t="s">
        <v>68</v>
      </c>
      <c r="E8" s="38" t="s">
        <v>69</v>
      </c>
    </row>
    <row r="9" spans="1:5" ht="32">
      <c r="A9" s="37"/>
      <c r="B9" s="37"/>
      <c r="C9" s="37"/>
      <c r="D9" s="42" t="s">
        <v>70</v>
      </c>
      <c r="E9" s="38" t="s">
        <v>71</v>
      </c>
    </row>
    <row r="10" spans="1:5" ht="16">
      <c r="A10" s="37"/>
      <c r="B10" s="37"/>
      <c r="C10" s="37"/>
      <c r="D10" s="42" t="s">
        <v>72</v>
      </c>
      <c r="E10" s="38" t="s">
        <v>73</v>
      </c>
    </row>
    <row r="11" spans="1:5" ht="32">
      <c r="A11" s="37"/>
      <c r="B11" s="37"/>
      <c r="C11" s="37"/>
      <c r="D11" s="42" t="s">
        <v>74</v>
      </c>
      <c r="E11" s="38" t="s">
        <v>75</v>
      </c>
    </row>
    <row r="12" spans="1:5" ht="32">
      <c r="A12" s="37"/>
      <c r="B12" s="37"/>
      <c r="C12" s="37"/>
      <c r="D12" s="42" t="s">
        <v>76</v>
      </c>
      <c r="E12" s="38" t="s">
        <v>77</v>
      </c>
    </row>
    <row r="13" spans="1:5" ht="32">
      <c r="A13" s="37"/>
      <c r="B13" s="37"/>
      <c r="C13" s="37"/>
      <c r="D13" s="42" t="s">
        <v>78</v>
      </c>
      <c r="E13" s="38" t="s">
        <v>79</v>
      </c>
    </row>
    <row r="14" spans="1:5">
      <c r="A14" s="39"/>
      <c r="B14" s="39"/>
      <c r="C14" s="39"/>
      <c r="D14" s="43"/>
      <c r="E14" s="40" t="s">
        <v>80</v>
      </c>
    </row>
    <row r="15" spans="1:5" ht="16">
      <c r="A15" s="35">
        <v>3</v>
      </c>
      <c r="B15" s="36">
        <v>46296</v>
      </c>
      <c r="C15" s="35" t="s">
        <v>17</v>
      </c>
      <c r="D15" s="41" t="s">
        <v>81</v>
      </c>
      <c r="E15" s="35" t="s">
        <v>82</v>
      </c>
    </row>
    <row r="16" spans="1:5" ht="32">
      <c r="A16" s="37"/>
      <c r="B16" s="37"/>
      <c r="C16" s="37"/>
      <c r="D16" s="42" t="s">
        <v>83</v>
      </c>
      <c r="E16" s="38" t="s">
        <v>84</v>
      </c>
    </row>
    <row r="17" spans="1:5" ht="32">
      <c r="A17" s="37"/>
      <c r="B17" s="37"/>
      <c r="C17" s="37"/>
      <c r="D17" s="42" t="s">
        <v>85</v>
      </c>
      <c r="E17" s="38" t="s">
        <v>86</v>
      </c>
    </row>
    <row r="18" spans="1:5" ht="16">
      <c r="A18" s="37"/>
      <c r="B18" s="37"/>
      <c r="C18" s="37"/>
      <c r="D18" s="42" t="s">
        <v>87</v>
      </c>
      <c r="E18" s="37"/>
    </row>
    <row r="19" spans="1:5" ht="32">
      <c r="A19" s="39"/>
      <c r="B19" s="39"/>
      <c r="C19" s="39"/>
      <c r="D19" s="44" t="s">
        <v>88</v>
      </c>
      <c r="E19" s="39"/>
    </row>
    <row r="20" spans="1:5" ht="16">
      <c r="A20" s="35">
        <v>4</v>
      </c>
      <c r="B20" s="36">
        <v>46297</v>
      </c>
      <c r="C20" s="35" t="s">
        <v>17</v>
      </c>
      <c r="D20" s="41" t="s">
        <v>89</v>
      </c>
      <c r="E20" s="35" t="s">
        <v>90</v>
      </c>
    </row>
    <row r="21" spans="1:5" ht="16">
      <c r="A21" s="37"/>
      <c r="B21" s="37"/>
      <c r="C21" s="37"/>
      <c r="D21" s="42" t="s">
        <v>91</v>
      </c>
      <c r="E21" s="38" t="s">
        <v>92</v>
      </c>
    </row>
    <row r="22" spans="1:5" ht="32">
      <c r="A22" s="37"/>
      <c r="B22" s="37"/>
      <c r="C22" s="37"/>
      <c r="D22" s="42" t="s">
        <v>93</v>
      </c>
      <c r="E22" s="38" t="s">
        <v>94</v>
      </c>
    </row>
    <row r="23" spans="1:5" ht="16">
      <c r="A23" s="37"/>
      <c r="B23" s="37"/>
      <c r="C23" s="37"/>
      <c r="D23" s="42" t="s">
        <v>95</v>
      </c>
      <c r="E23" s="38" t="s">
        <v>96</v>
      </c>
    </row>
    <row r="24" spans="1:5" ht="16">
      <c r="A24" s="39"/>
      <c r="B24" s="39"/>
      <c r="C24" s="39"/>
      <c r="D24" s="45" t="s">
        <v>97</v>
      </c>
      <c r="E24" s="39"/>
    </row>
    <row r="25" spans="1:5" ht="16">
      <c r="A25" s="35">
        <v>5</v>
      </c>
      <c r="B25" s="36">
        <v>46298</v>
      </c>
      <c r="C25" s="35" t="s">
        <v>98</v>
      </c>
      <c r="D25" s="41" t="s">
        <v>99</v>
      </c>
      <c r="E25" s="35" t="s">
        <v>100</v>
      </c>
    </row>
    <row r="26" spans="1:5" ht="32">
      <c r="A26" s="37"/>
      <c r="B26" s="37"/>
      <c r="C26" s="37"/>
      <c r="D26" s="42" t="s">
        <v>101</v>
      </c>
      <c r="E26" s="38" t="s">
        <v>102</v>
      </c>
    </row>
    <row r="27" spans="1:5" ht="32">
      <c r="A27" s="37"/>
      <c r="B27" s="37"/>
      <c r="C27" s="37"/>
      <c r="D27" s="42" t="s">
        <v>103</v>
      </c>
      <c r="E27" s="38" t="s">
        <v>104</v>
      </c>
    </row>
    <row r="28" spans="1:5" ht="32">
      <c r="A28" s="37"/>
      <c r="B28" s="37"/>
      <c r="C28" s="37"/>
      <c r="D28" s="42" t="s">
        <v>105</v>
      </c>
      <c r="E28" s="38" t="s">
        <v>106</v>
      </c>
    </row>
    <row r="29" spans="1:5" ht="16">
      <c r="A29" s="39"/>
      <c r="B29" s="39"/>
      <c r="C29" s="39"/>
      <c r="D29" s="44" t="s">
        <v>107</v>
      </c>
      <c r="E29" s="39"/>
    </row>
    <row r="30" spans="1:5" ht="32">
      <c r="A30" s="35">
        <v>6</v>
      </c>
      <c r="B30" s="36">
        <v>46299</v>
      </c>
      <c r="C30" s="35" t="s">
        <v>24</v>
      </c>
      <c r="D30" s="41" t="s">
        <v>108</v>
      </c>
      <c r="E30" s="35" t="s">
        <v>109</v>
      </c>
    </row>
    <row r="31" spans="1:5" ht="47">
      <c r="A31" s="37"/>
      <c r="B31" s="37"/>
      <c r="C31" s="37"/>
      <c r="D31" s="42" t="s">
        <v>110</v>
      </c>
      <c r="E31" s="38" t="s">
        <v>111</v>
      </c>
    </row>
    <row r="32" spans="1:5" ht="32">
      <c r="A32" s="37"/>
      <c r="B32" s="37"/>
      <c r="C32" s="37"/>
      <c r="D32" s="42" t="s">
        <v>112</v>
      </c>
      <c r="E32" s="38" t="s">
        <v>113</v>
      </c>
    </row>
    <row r="33" spans="1:5" ht="32">
      <c r="A33" s="37"/>
      <c r="B33" s="37"/>
      <c r="C33" s="37"/>
      <c r="D33" s="42" t="s">
        <v>114</v>
      </c>
      <c r="E33" s="38" t="s">
        <v>115</v>
      </c>
    </row>
    <row r="34" spans="1:5" ht="16">
      <c r="A34" s="37"/>
      <c r="B34" s="37"/>
      <c r="C34" s="37"/>
      <c r="D34" s="42" t="s">
        <v>116</v>
      </c>
      <c r="E34" s="38" t="s">
        <v>117</v>
      </c>
    </row>
    <row r="35" spans="1:5">
      <c r="A35" s="39"/>
      <c r="B35" s="39"/>
      <c r="C35" s="39"/>
      <c r="D35" s="43"/>
      <c r="E35" s="40" t="s">
        <v>118</v>
      </c>
    </row>
    <row r="36" spans="1:5" ht="16">
      <c r="A36" s="35">
        <v>7</v>
      </c>
      <c r="B36" s="36">
        <v>46300</v>
      </c>
      <c r="C36" s="35" t="s">
        <v>24</v>
      </c>
      <c r="D36" s="41" t="s">
        <v>119</v>
      </c>
      <c r="E36" s="35" t="s">
        <v>120</v>
      </c>
    </row>
    <row r="37" spans="1:5" ht="16">
      <c r="A37" s="37"/>
      <c r="B37" s="37"/>
      <c r="C37" s="37"/>
      <c r="D37" s="42" t="s">
        <v>121</v>
      </c>
      <c r="E37" s="38" t="s">
        <v>122</v>
      </c>
    </row>
    <row r="38" spans="1:5" ht="32">
      <c r="A38" s="37"/>
      <c r="B38" s="37"/>
      <c r="C38" s="37"/>
      <c r="D38" s="42" t="s">
        <v>123</v>
      </c>
      <c r="E38" s="38" t="s">
        <v>124</v>
      </c>
    </row>
    <row r="39" spans="1:5" ht="32">
      <c r="A39" s="37"/>
      <c r="B39" s="37"/>
      <c r="C39" s="37"/>
      <c r="D39" s="42" t="s">
        <v>125</v>
      </c>
      <c r="E39" s="38" t="s">
        <v>126</v>
      </c>
    </row>
    <row r="40" spans="1:5" ht="32">
      <c r="A40" s="37"/>
      <c r="B40" s="37"/>
      <c r="C40" s="37"/>
      <c r="D40" s="42" t="s">
        <v>127</v>
      </c>
      <c r="E40" s="37"/>
    </row>
    <row r="41" spans="1:5" ht="16">
      <c r="A41" s="39"/>
      <c r="B41" s="39"/>
      <c r="C41" s="39"/>
      <c r="D41" s="44" t="s">
        <v>128</v>
      </c>
      <c r="E41" s="39"/>
    </row>
    <row r="42" spans="1:5" ht="32">
      <c r="A42" s="35">
        <v>8</v>
      </c>
      <c r="B42" s="36">
        <v>46301</v>
      </c>
      <c r="C42" s="35" t="s">
        <v>24</v>
      </c>
      <c r="D42" s="41" t="s">
        <v>129</v>
      </c>
      <c r="E42" s="35" t="s">
        <v>130</v>
      </c>
    </row>
    <row r="43" spans="1:5" ht="32">
      <c r="A43" s="37"/>
      <c r="B43" s="37"/>
      <c r="C43" s="37"/>
      <c r="D43" s="42" t="s">
        <v>131</v>
      </c>
      <c r="E43" s="38" t="s">
        <v>132</v>
      </c>
    </row>
    <row r="44" spans="1:5" ht="16">
      <c r="A44" s="37"/>
      <c r="B44" s="37"/>
      <c r="C44" s="37"/>
      <c r="D44" s="42" t="s">
        <v>133</v>
      </c>
      <c r="E44" s="38" t="s">
        <v>134</v>
      </c>
    </row>
    <row r="45" spans="1:5" ht="47">
      <c r="A45" s="37"/>
      <c r="B45" s="37"/>
      <c r="C45" s="37"/>
      <c r="D45" s="42" t="s">
        <v>135</v>
      </c>
      <c r="E45" s="38" t="s">
        <v>136</v>
      </c>
    </row>
    <row r="46" spans="1:5" ht="32">
      <c r="A46" s="39"/>
      <c r="B46" s="39"/>
      <c r="C46" s="39"/>
      <c r="D46" s="44" t="s">
        <v>137</v>
      </c>
      <c r="E46" s="40" t="s">
        <v>138</v>
      </c>
    </row>
    <row r="47" spans="1:5" ht="47">
      <c r="A47" s="35">
        <v>9</v>
      </c>
      <c r="B47" s="36">
        <v>46302</v>
      </c>
      <c r="C47" s="35" t="s">
        <v>24</v>
      </c>
      <c r="D47" s="41" t="s">
        <v>139</v>
      </c>
      <c r="E47" s="35" t="s">
        <v>140</v>
      </c>
    </row>
    <row r="48" spans="1:5" ht="32">
      <c r="A48" s="37"/>
      <c r="B48" s="37"/>
      <c r="C48" s="37"/>
      <c r="D48" s="42" t="s">
        <v>141</v>
      </c>
      <c r="E48" s="38" t="s">
        <v>142</v>
      </c>
    </row>
    <row r="49" spans="1:5" ht="16">
      <c r="A49" s="39"/>
      <c r="B49" s="39"/>
      <c r="C49" s="39"/>
      <c r="D49" s="44" t="s">
        <v>143</v>
      </c>
      <c r="E49" s="39"/>
    </row>
    <row r="50" spans="1:5" ht="32">
      <c r="A50" s="35">
        <v>10</v>
      </c>
      <c r="B50" s="36">
        <v>46303</v>
      </c>
      <c r="C50" s="35" t="s">
        <v>144</v>
      </c>
      <c r="D50" s="41" t="s">
        <v>145</v>
      </c>
      <c r="E50" s="35" t="s">
        <v>146</v>
      </c>
    </row>
    <row r="51" spans="1:5" ht="32">
      <c r="A51" s="37"/>
      <c r="B51" s="37"/>
      <c r="C51" s="37"/>
      <c r="D51" s="42" t="s">
        <v>147</v>
      </c>
      <c r="E51" s="38" t="s">
        <v>148</v>
      </c>
    </row>
    <row r="52" spans="1:5" ht="32">
      <c r="A52" s="37"/>
      <c r="B52" s="37"/>
      <c r="C52" s="37"/>
      <c r="D52" s="42" t="s">
        <v>149</v>
      </c>
      <c r="E52" s="38" t="s">
        <v>150</v>
      </c>
    </row>
    <row r="53" spans="1:5" ht="32">
      <c r="A53" s="37"/>
      <c r="B53" s="37"/>
      <c r="C53" s="37"/>
      <c r="D53" s="42" t="s">
        <v>151</v>
      </c>
      <c r="E53" s="38" t="s">
        <v>152</v>
      </c>
    </row>
    <row r="54" spans="1:5" ht="16">
      <c r="A54" s="39"/>
      <c r="B54" s="39"/>
      <c r="C54" s="39"/>
      <c r="D54" s="44" t="s">
        <v>153</v>
      </c>
      <c r="E54" s="39"/>
    </row>
    <row r="55" spans="1:5" ht="47">
      <c r="A55" s="35">
        <v>11</v>
      </c>
      <c r="B55" s="36">
        <v>46304</v>
      </c>
      <c r="C55" s="35" t="s">
        <v>154</v>
      </c>
      <c r="D55" s="41" t="s">
        <v>155</v>
      </c>
      <c r="E55" s="35" t="s">
        <v>156</v>
      </c>
    </row>
    <row r="56" spans="1:5" ht="32">
      <c r="A56" s="37"/>
      <c r="B56" s="37"/>
      <c r="C56" s="37"/>
      <c r="D56" s="42" t="s">
        <v>157</v>
      </c>
      <c r="E56" s="38" t="s">
        <v>158</v>
      </c>
    </row>
    <row r="57" spans="1:5" ht="16">
      <c r="A57" s="37"/>
      <c r="B57" s="37"/>
      <c r="C57" s="37"/>
      <c r="D57" s="42" t="s">
        <v>159</v>
      </c>
      <c r="E57" s="38" t="s">
        <v>160</v>
      </c>
    </row>
    <row r="58" spans="1:5" ht="32">
      <c r="A58" s="39"/>
      <c r="B58" s="39"/>
      <c r="C58" s="39"/>
      <c r="D58" s="44" t="s">
        <v>161</v>
      </c>
      <c r="E58" s="40" t="s">
        <v>162</v>
      </c>
    </row>
    <row r="59" spans="1:5" ht="32">
      <c r="A59" s="35">
        <v>12</v>
      </c>
      <c r="B59" s="36">
        <v>46305</v>
      </c>
      <c r="C59" s="35" t="s">
        <v>154</v>
      </c>
      <c r="D59" s="41" t="s">
        <v>163</v>
      </c>
      <c r="E59" s="35" t="s">
        <v>164</v>
      </c>
    </row>
    <row r="60" spans="1:5" ht="32">
      <c r="A60" s="37"/>
      <c r="B60" s="37"/>
      <c r="C60" s="37"/>
      <c r="D60" s="42" t="s">
        <v>165</v>
      </c>
      <c r="E60" s="38" t="s">
        <v>166</v>
      </c>
    </row>
    <row r="61" spans="1:5" ht="16">
      <c r="A61" s="39"/>
      <c r="B61" s="39"/>
      <c r="C61" s="39"/>
      <c r="D61" s="44" t="s">
        <v>167</v>
      </c>
      <c r="E61" s="40" t="s">
        <v>168</v>
      </c>
    </row>
    <row r="62" spans="1:5" ht="16">
      <c r="A62" s="35">
        <v>13</v>
      </c>
      <c r="B62" s="36">
        <v>46306</v>
      </c>
      <c r="C62" s="35" t="s">
        <v>10</v>
      </c>
      <c r="D62" s="41" t="s">
        <v>169</v>
      </c>
      <c r="E62" s="35" t="s">
        <v>170</v>
      </c>
    </row>
    <row r="63" spans="1:5" ht="32">
      <c r="A63" s="37"/>
      <c r="B63" s="37"/>
      <c r="C63" s="37"/>
      <c r="D63" s="42" t="s">
        <v>171</v>
      </c>
      <c r="E63" s="38" t="s">
        <v>172</v>
      </c>
    </row>
    <row r="64" spans="1:5" ht="32">
      <c r="A64" s="39"/>
      <c r="B64" s="39"/>
      <c r="C64" s="39"/>
      <c r="D64" s="44" t="s">
        <v>173</v>
      </c>
      <c r="E64" s="40" t="s">
        <v>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D235E-6A8A-4994-BBA2-AE21653E5BAB}">
  <sheetPr>
    <tabColor rgb="FF92D050"/>
  </sheetPr>
  <dimension ref="A1:M15"/>
  <sheetViews>
    <sheetView tabSelected="1" topLeftCell="C2" workbookViewId="0">
      <selection activeCell="I23" sqref="I23"/>
    </sheetView>
  </sheetViews>
  <sheetFormatPr baseColWidth="10" defaultColWidth="8.83203125" defaultRowHeight="15"/>
  <cols>
    <col min="1" max="1" width="23.5" customWidth="1"/>
    <col min="2" max="2" width="13.1640625" hidden="1" customWidth="1"/>
    <col min="3" max="3" width="17.33203125" customWidth="1"/>
    <col min="4" max="4" width="16.5" customWidth="1"/>
    <col min="5" max="5" width="38.5" customWidth="1"/>
    <col min="6" max="7" width="32.5" customWidth="1"/>
    <col min="8" max="8" width="20" customWidth="1"/>
    <col min="9" max="9" width="20.5" bestFit="1" customWidth="1"/>
    <col min="10" max="10" width="20.5" customWidth="1"/>
    <col min="11" max="11" width="17.6640625" customWidth="1"/>
    <col min="12" max="12" width="36.5" bestFit="1" customWidth="1"/>
    <col min="13" max="13" width="15.5" customWidth="1"/>
  </cols>
  <sheetData>
    <row r="1" spans="1:13" ht="32">
      <c r="A1" s="27" t="s">
        <v>0</v>
      </c>
      <c r="B1" s="27" t="s">
        <v>1</v>
      </c>
      <c r="C1" s="27" t="s">
        <v>175</v>
      </c>
      <c r="D1" s="27" t="s">
        <v>3</v>
      </c>
      <c r="E1" s="27" t="s">
        <v>176</v>
      </c>
      <c r="F1" s="27" t="s">
        <v>177</v>
      </c>
      <c r="G1" s="27" t="s">
        <v>178</v>
      </c>
      <c r="H1" s="27" t="s">
        <v>179</v>
      </c>
      <c r="I1" s="27" t="s">
        <v>180</v>
      </c>
      <c r="J1" s="27" t="s">
        <v>181</v>
      </c>
      <c r="K1" s="30" t="s">
        <v>182</v>
      </c>
      <c r="L1" s="1"/>
    </row>
    <row r="2" spans="1:13" ht="227.25" customHeight="1">
      <c r="A2" s="31" t="s">
        <v>10</v>
      </c>
      <c r="B2" s="32"/>
      <c r="C2" s="32">
        <v>46294</v>
      </c>
      <c r="D2" s="31">
        <v>1</v>
      </c>
      <c r="E2" s="28" t="s">
        <v>183</v>
      </c>
      <c r="F2" s="28" t="s">
        <v>184</v>
      </c>
      <c r="G2" s="28" t="s">
        <v>185</v>
      </c>
      <c r="H2" s="31" t="s">
        <v>186</v>
      </c>
      <c r="I2" s="31">
        <v>102</v>
      </c>
      <c r="J2" s="49" t="s">
        <v>187</v>
      </c>
      <c r="K2" s="8"/>
    </row>
    <row r="3" spans="1:13" ht="48">
      <c r="A3" s="31" t="s">
        <v>14</v>
      </c>
      <c r="B3" s="32"/>
      <c r="C3" s="32">
        <v>46295</v>
      </c>
      <c r="D3" s="31">
        <v>1</v>
      </c>
      <c r="E3" s="26" t="s">
        <v>188</v>
      </c>
      <c r="F3" s="28" t="s">
        <v>189</v>
      </c>
      <c r="G3" s="28"/>
      <c r="H3" s="31"/>
      <c r="I3" s="31">
        <v>112.5</v>
      </c>
      <c r="J3" s="49" t="s">
        <v>190</v>
      </c>
      <c r="K3" s="8"/>
    </row>
    <row r="4" spans="1:13" ht="70.5" customHeight="1">
      <c r="A4" s="31" t="s">
        <v>17</v>
      </c>
      <c r="B4" s="32"/>
      <c r="C4" s="32" t="s">
        <v>191</v>
      </c>
      <c r="D4" s="31">
        <v>2</v>
      </c>
      <c r="E4" s="31" t="s">
        <v>192</v>
      </c>
      <c r="F4" s="28" t="s">
        <v>193</v>
      </c>
      <c r="G4" s="28"/>
      <c r="H4" s="26" t="s">
        <v>186</v>
      </c>
      <c r="I4" s="31">
        <v>207</v>
      </c>
      <c r="J4" s="49" t="s">
        <v>187</v>
      </c>
      <c r="K4" s="8"/>
    </row>
    <row r="5" spans="1:13" ht="48">
      <c r="A5" s="31" t="s">
        <v>21</v>
      </c>
      <c r="B5" s="32"/>
      <c r="C5" s="32">
        <v>46298</v>
      </c>
      <c r="D5" s="31">
        <v>1</v>
      </c>
      <c r="E5" s="26" t="s">
        <v>194</v>
      </c>
      <c r="F5" s="31"/>
      <c r="G5" s="31"/>
      <c r="H5" s="26" t="s">
        <v>195</v>
      </c>
      <c r="I5" s="31">
        <v>145</v>
      </c>
      <c r="J5" s="49" t="s">
        <v>187</v>
      </c>
      <c r="K5" s="8"/>
    </row>
    <row r="6" spans="1:13" ht="48">
      <c r="A6" s="31" t="s">
        <v>24</v>
      </c>
      <c r="B6" s="31"/>
      <c r="C6" s="31" t="s">
        <v>196</v>
      </c>
      <c r="D6" s="31">
        <v>4</v>
      </c>
      <c r="E6" s="26" t="s">
        <v>197</v>
      </c>
      <c r="F6" s="31"/>
      <c r="G6" s="31"/>
      <c r="H6" s="33" t="s">
        <v>195</v>
      </c>
      <c r="I6" s="31">
        <v>688</v>
      </c>
      <c r="J6" s="49" t="s">
        <v>198</v>
      </c>
      <c r="K6" s="8"/>
      <c r="L6" s="3" t="s">
        <v>199</v>
      </c>
    </row>
    <row r="7" spans="1:13" ht="13.5" customHeight="1">
      <c r="A7" s="26" t="s">
        <v>29</v>
      </c>
      <c r="B7" s="32"/>
      <c r="C7" s="53" t="s">
        <v>31</v>
      </c>
      <c r="D7" s="51">
        <v>3</v>
      </c>
      <c r="E7" s="50" t="s">
        <v>200</v>
      </c>
      <c r="F7" s="51"/>
      <c r="G7" s="31"/>
      <c r="H7" s="51" t="s">
        <v>195</v>
      </c>
      <c r="I7" s="51">
        <v>541</v>
      </c>
      <c r="J7" s="54" t="s">
        <v>201</v>
      </c>
      <c r="K7" s="52"/>
    </row>
    <row r="8" spans="1:13" ht="58.5" customHeight="1">
      <c r="A8" s="31" t="s">
        <v>35</v>
      </c>
      <c r="B8" s="32"/>
      <c r="C8" s="53"/>
      <c r="D8" s="51"/>
      <c r="E8" s="50"/>
      <c r="F8" s="51"/>
      <c r="G8" s="31"/>
      <c r="H8" s="51"/>
      <c r="I8" s="51"/>
      <c r="J8" s="50"/>
      <c r="K8" s="52"/>
      <c r="L8" t="s">
        <v>202</v>
      </c>
    </row>
    <row r="9" spans="1:13">
      <c r="A9" s="31" t="s">
        <v>10</v>
      </c>
      <c r="B9" s="32"/>
      <c r="C9" s="32" t="s">
        <v>203</v>
      </c>
      <c r="D9" s="31"/>
      <c r="E9" s="31"/>
      <c r="F9" s="31"/>
      <c r="G9" s="31"/>
      <c r="H9" s="31"/>
      <c r="I9" s="31"/>
      <c r="J9" s="31"/>
    </row>
    <row r="10" spans="1:13">
      <c r="K10" s="9"/>
      <c r="M10" s="1"/>
    </row>
    <row r="12" spans="1:13">
      <c r="B12" s="4"/>
      <c r="C12" s="4"/>
      <c r="K12" s="8"/>
      <c r="L12" s="3"/>
    </row>
    <row r="15" spans="1:13">
      <c r="A15" s="1"/>
    </row>
  </sheetData>
  <mergeCells count="8">
    <mergeCell ref="E7:E8"/>
    <mergeCell ref="H7:H8"/>
    <mergeCell ref="I7:I8"/>
    <mergeCell ref="K7:K8"/>
    <mergeCell ref="C7:C8"/>
    <mergeCell ref="D7:D8"/>
    <mergeCell ref="F7:F8"/>
    <mergeCell ref="J7:J8"/>
  </mergeCells>
  <hyperlinks>
    <hyperlink ref="F3" r:id="rId1" location="label/NZ+Trip/FMfcgzQgMMCkNqkRnLbwpfftRfPPGGSJ" xr:uid="{6834501D-6F40-4356-998C-884B50846B60}"/>
    <hyperlink ref="E2" r:id="rId2" xr:uid="{432029AC-4411-431C-9BD2-89768019E6F9}"/>
    <hyperlink ref="F2" r:id="rId3" location="label/NZ+Trip/FMfcgzQgMMHNDJStHbfnZrXWNxbvWSGd" xr:uid="{82A8A14F-396D-45E5-89D8-794BE8B8214D}"/>
    <hyperlink ref="F4" r:id="rId4" location="label/NZ+Trip/FMfcgzQgMgQDhmxWcbqVVrZpdPBZFFTj" xr:uid="{2D3B4FB8-3EC6-4728-8F37-7AB733BD02BE}"/>
    <hyperlink ref="G2" r:id="rId5" display="https://www.agoda.com/en-au/account/editbooking.html?bookingId=wcYpUPpr2wLM96ALV0m2pg%3D%3D&amp;af_force_deeplink=true&amp;af_sub3=2f773c1f-48fc-49b8-80cf-f7e68c99a283&amp;c=CONFIRMATION_EMAIL_ONELINK&amp;pid=redirect&amp;af_dp=agoda%3A%2F%2Fmmb%2F%3FbookingToken%3DwcYpUPpr2wLM96ALV0m2pg%3D%3D&amp;deep_link_value=agoda%3A%2F%2Fmmb%2F%3FbookingToken%3DwcYpUPpr2wLM96ALV0m2pg%3D%3D&amp;af_sub4=Hotel&amp;ds=Y2SYe3X1PFzgEbLz" xr:uid="{9C412B0F-12BB-44A7-AD4F-320B9049B36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C7F27-AF61-4607-8381-79241A271BF9}">
  <sheetPr>
    <tabColor rgb="FF92D050"/>
  </sheetPr>
  <dimension ref="A1:F15"/>
  <sheetViews>
    <sheetView topLeftCell="A13" workbookViewId="0">
      <selection sqref="A1:F14"/>
    </sheetView>
  </sheetViews>
  <sheetFormatPr baseColWidth="10" defaultColWidth="8.83203125" defaultRowHeight="15"/>
  <cols>
    <col min="1" max="1" width="7.5" bestFit="1" customWidth="1"/>
    <col min="2" max="2" width="8.1640625" bestFit="1" customWidth="1"/>
    <col min="3" max="3" width="23.5" bestFit="1" customWidth="1"/>
    <col min="4" max="4" width="71.5" bestFit="1" customWidth="1"/>
    <col min="5" max="5" width="40.5" bestFit="1" customWidth="1"/>
    <col min="6" max="6" width="21.5" bestFit="1" customWidth="1"/>
  </cols>
  <sheetData>
    <row r="1" spans="1:6" ht="21">
      <c r="A1" s="16" t="s">
        <v>204</v>
      </c>
      <c r="B1" s="16" t="s">
        <v>205</v>
      </c>
      <c r="C1" s="16" t="s">
        <v>206</v>
      </c>
      <c r="D1" s="16" t="s">
        <v>207</v>
      </c>
      <c r="E1" s="16" t="s">
        <v>208</v>
      </c>
      <c r="F1" s="16" t="s">
        <v>209</v>
      </c>
    </row>
    <row r="2" spans="1:6" ht="206.25" customHeight="1">
      <c r="A2" s="17">
        <v>1</v>
      </c>
      <c r="B2" s="24">
        <v>46294</v>
      </c>
      <c r="C2" s="15" t="s">
        <v>10</v>
      </c>
      <c r="D2" s="19" t="s">
        <v>210</v>
      </c>
      <c r="E2" s="18" t="s">
        <v>211</v>
      </c>
      <c r="F2" s="19" t="s">
        <v>212</v>
      </c>
    </row>
    <row r="3" spans="1:6" ht="323">
      <c r="A3" s="17">
        <v>2</v>
      </c>
      <c r="B3" s="24">
        <v>46295</v>
      </c>
      <c r="C3" s="15" t="s">
        <v>213</v>
      </c>
      <c r="D3" s="19" t="s">
        <v>214</v>
      </c>
      <c r="E3" s="19" t="s">
        <v>215</v>
      </c>
      <c r="F3" s="17" t="s">
        <v>216</v>
      </c>
    </row>
    <row r="4" spans="1:6" ht="119">
      <c r="A4" s="17">
        <v>3</v>
      </c>
      <c r="B4" s="24">
        <v>46296</v>
      </c>
      <c r="C4" s="15" t="s">
        <v>17</v>
      </c>
      <c r="D4" s="19" t="s">
        <v>217</v>
      </c>
      <c r="E4" s="19" t="s">
        <v>218</v>
      </c>
      <c r="F4" s="17"/>
    </row>
    <row r="5" spans="1:6" ht="68">
      <c r="A5" s="17">
        <v>4</v>
      </c>
      <c r="B5" s="24">
        <v>46297</v>
      </c>
      <c r="C5" s="15" t="s">
        <v>17</v>
      </c>
      <c r="D5" s="19" t="s">
        <v>219</v>
      </c>
      <c r="E5" s="19" t="s">
        <v>220</v>
      </c>
      <c r="F5" s="17" t="s">
        <v>216</v>
      </c>
    </row>
    <row r="6" spans="1:6" ht="170">
      <c r="A6" s="17">
        <v>5</v>
      </c>
      <c r="B6" s="24">
        <v>46298</v>
      </c>
      <c r="C6" s="15" t="s">
        <v>98</v>
      </c>
      <c r="D6" s="19" t="s">
        <v>221</v>
      </c>
      <c r="E6" s="19" t="s">
        <v>222</v>
      </c>
      <c r="F6" s="17" t="s">
        <v>216</v>
      </c>
    </row>
    <row r="7" spans="1:6" ht="204">
      <c r="A7" s="17">
        <v>6</v>
      </c>
      <c r="B7" s="24">
        <v>46299</v>
      </c>
      <c r="C7" s="15" t="s">
        <v>223</v>
      </c>
      <c r="D7" s="19" t="s">
        <v>224</v>
      </c>
      <c r="E7" s="19" t="s">
        <v>225</v>
      </c>
      <c r="F7" s="19" t="s">
        <v>226</v>
      </c>
    </row>
    <row r="8" spans="1:6" ht="170">
      <c r="A8" s="17">
        <v>7</v>
      </c>
      <c r="B8" s="24">
        <v>46300</v>
      </c>
      <c r="C8" s="15" t="s">
        <v>24</v>
      </c>
      <c r="D8" s="19" t="s">
        <v>227</v>
      </c>
      <c r="E8" s="19" t="s">
        <v>228</v>
      </c>
      <c r="F8" s="17" t="s">
        <v>229</v>
      </c>
    </row>
    <row r="9" spans="1:6" ht="238">
      <c r="A9" s="17">
        <v>8</v>
      </c>
      <c r="B9" s="24">
        <v>46301</v>
      </c>
      <c r="C9" s="15" t="s">
        <v>24</v>
      </c>
      <c r="D9" s="19" t="s">
        <v>230</v>
      </c>
      <c r="E9" s="19" t="s">
        <v>231</v>
      </c>
      <c r="F9" s="17" t="s">
        <v>216</v>
      </c>
    </row>
    <row r="10" spans="1:6" ht="153">
      <c r="A10" s="17">
        <v>9</v>
      </c>
      <c r="B10" s="24">
        <v>46302</v>
      </c>
      <c r="C10" s="29" t="s">
        <v>24</v>
      </c>
      <c r="D10" s="19" t="s">
        <v>232</v>
      </c>
      <c r="E10" s="17" t="s">
        <v>233</v>
      </c>
      <c r="F10" s="19" t="s">
        <v>234</v>
      </c>
    </row>
    <row r="11" spans="1:6" ht="237" customHeight="1">
      <c r="A11" s="17">
        <v>10</v>
      </c>
      <c r="B11" s="24">
        <v>46303</v>
      </c>
      <c r="C11" s="29" t="s">
        <v>24</v>
      </c>
      <c r="D11" s="18" t="s">
        <v>235</v>
      </c>
      <c r="E11" s="19" t="s">
        <v>236</v>
      </c>
      <c r="F11" s="19" t="s">
        <v>237</v>
      </c>
    </row>
    <row r="12" spans="1:6" ht="204">
      <c r="A12" s="17">
        <v>11</v>
      </c>
      <c r="B12" s="24">
        <v>46304</v>
      </c>
      <c r="C12" s="15"/>
      <c r="D12" s="19" t="s">
        <v>238</v>
      </c>
      <c r="E12" s="19" t="s">
        <v>239</v>
      </c>
      <c r="F12" s="17" t="s">
        <v>240</v>
      </c>
    </row>
    <row r="13" spans="1:6" s="26" customFormat="1" ht="170">
      <c r="A13" s="19">
        <v>12</v>
      </c>
      <c r="B13" s="25">
        <v>46305</v>
      </c>
      <c r="C13" s="19"/>
      <c r="D13" s="19" t="s">
        <v>241</v>
      </c>
      <c r="E13" s="19" t="s">
        <v>242</v>
      </c>
      <c r="F13" s="19" t="s">
        <v>243</v>
      </c>
    </row>
    <row r="14" spans="1:6" s="26" customFormat="1" ht="136">
      <c r="A14" s="19">
        <v>13</v>
      </c>
      <c r="B14" s="25">
        <v>46306</v>
      </c>
      <c r="C14" s="19"/>
      <c r="D14" s="19" t="s">
        <v>244</v>
      </c>
      <c r="E14" s="19" t="s">
        <v>245</v>
      </c>
      <c r="F14" s="19" t="s">
        <v>243</v>
      </c>
    </row>
    <row r="15" spans="1:6" ht="16">
      <c r="A15" s="14"/>
      <c r="B15" s="14"/>
      <c r="C15" s="14"/>
      <c r="D15" s="14"/>
      <c r="E15" s="14"/>
      <c r="F15"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A429-91E4-4A49-9810-F0EBC9998539}">
  <sheetPr>
    <tabColor rgb="FF92D050"/>
  </sheetPr>
  <dimension ref="A1:B5"/>
  <sheetViews>
    <sheetView workbookViewId="0">
      <selection activeCell="A3" sqref="A3"/>
    </sheetView>
  </sheetViews>
  <sheetFormatPr baseColWidth="10" defaultColWidth="8.83203125" defaultRowHeight="15"/>
  <cols>
    <col min="1" max="1" width="86.6640625" bestFit="1" customWidth="1"/>
    <col min="2" max="2" width="39.33203125" bestFit="1" customWidth="1"/>
    <col min="3" max="3" width="13.6640625" bestFit="1" customWidth="1"/>
  </cols>
  <sheetData>
    <row r="1" spans="1:2">
      <c r="A1" t="s">
        <v>246</v>
      </c>
      <c r="B1" s="23" t="s">
        <v>247</v>
      </c>
    </row>
    <row r="2" spans="1:2">
      <c r="A2" s="20" t="s">
        <v>248</v>
      </c>
    </row>
    <row r="3" spans="1:2">
      <c r="A3" s="23" t="s">
        <v>249</v>
      </c>
    </row>
    <row r="4" spans="1:2">
      <c r="A4" t="s">
        <v>250</v>
      </c>
    </row>
    <row r="5" spans="1:2">
      <c r="A5" t="s">
        <v>251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889AF-796D-4363-8E13-1781C7A0087B}">
  <dimension ref="A1:C5"/>
  <sheetViews>
    <sheetView workbookViewId="0">
      <selection activeCell="E7" sqref="E7"/>
    </sheetView>
  </sheetViews>
  <sheetFormatPr baseColWidth="10" defaultColWidth="8.83203125" defaultRowHeight="15"/>
  <cols>
    <col min="1" max="1" width="26.5" bestFit="1" customWidth="1"/>
  </cols>
  <sheetData>
    <row r="1" spans="1:3">
      <c r="A1" s="1" t="s">
        <v>252</v>
      </c>
      <c r="B1" s="1" t="s">
        <v>253</v>
      </c>
      <c r="C1" s="1" t="s">
        <v>254</v>
      </c>
    </row>
    <row r="2" spans="1:3">
      <c r="A2" s="21" t="s">
        <v>255</v>
      </c>
    </row>
    <row r="3" spans="1:3">
      <c r="A3" s="21" t="s">
        <v>256</v>
      </c>
      <c r="B3" t="s">
        <v>257</v>
      </c>
      <c r="C3" t="s">
        <v>258</v>
      </c>
    </row>
    <row r="4" spans="1:3">
      <c r="A4" s="10" t="s">
        <v>259</v>
      </c>
    </row>
    <row r="5" spans="1:3">
      <c r="A5" s="22" t="s">
        <v>260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79C41-D1A7-4898-84EB-5640DE341544}">
  <dimension ref="A1:A3"/>
  <sheetViews>
    <sheetView workbookViewId="0">
      <selection activeCell="A4" sqref="A4"/>
    </sheetView>
  </sheetViews>
  <sheetFormatPr baseColWidth="10" defaultColWidth="8.83203125" defaultRowHeight="15"/>
  <cols>
    <col min="1" max="1" width="23" customWidth="1"/>
  </cols>
  <sheetData>
    <row r="1" spans="1:1">
      <c r="A1" s="1" t="s">
        <v>261</v>
      </c>
    </row>
    <row r="2" spans="1:1">
      <c r="A2" t="s">
        <v>262</v>
      </c>
    </row>
    <row r="3" spans="1:1">
      <c r="A3"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Accomodation (Update) </vt:lpstr>
      <vt:lpstr>Travel Plan</vt:lpstr>
      <vt:lpstr>Travel Plan Final Draft</vt:lpstr>
      <vt:lpstr>Accomodation Final</vt:lpstr>
      <vt:lpstr>Itienary</vt:lpstr>
      <vt:lpstr>Car Hire Details </vt:lpstr>
      <vt:lpstr>Activities </vt:lpstr>
      <vt:lpstr>Shopping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Simar Singh</cp:lastModifiedBy>
  <cp:revision/>
  <dcterms:created xsi:type="dcterms:W3CDTF">2026-06-30T08:48:23Z</dcterms:created>
  <dcterms:modified xsi:type="dcterms:W3CDTF">2026-09-15T08:50:38Z</dcterms:modified>
  <cp:category/>
  <cp:contentStatus/>
</cp:coreProperties>
</file>